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01 Data Analysis\Excel\"/>
    </mc:Choice>
  </mc:AlternateContent>
  <xr:revisionPtr revIDLastSave="0" documentId="13_ncr:1_{9DEE3B44-9447-4A18-9988-28AB148C6E50}" xr6:coauthVersionLast="47" xr6:coauthVersionMax="47" xr10:uidLastSave="{00000000-0000-0000-0000-000000000000}"/>
  <bookViews>
    <workbookView xWindow="-108" yWindow="-108" windowWidth="23256" windowHeight="12456" firstSheet="1" activeTab="2" xr2:uid="{00000000-000D-0000-FFFF-FFFF00000000}"/>
  </bookViews>
  <sheets>
    <sheet name="IF and Nesting IF Functions" sheetId="1" r:id="rId1"/>
    <sheet name="Using IF with AND OR Formulas" sheetId="2" r:id="rId2"/>
    <sheet name="COUNTIFS, SUMIFS, AVERAGEIFS" sheetId="3" r:id="rId3"/>
    <sheet name="Excel TEXT Function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3" l="1"/>
  <c r="H12" i="3"/>
  <c r="H13" i="3"/>
  <c r="H14" i="3"/>
  <c r="H10" i="3"/>
  <c r="G4" i="3"/>
  <c r="G5" i="3"/>
  <c r="G6" i="3"/>
  <c r="G7" i="3"/>
  <c r="G3" i="3"/>
  <c r="I17" i="2"/>
  <c r="I18" i="2"/>
  <c r="I19" i="2"/>
  <c r="I20" i="2"/>
  <c r="I16" i="2"/>
  <c r="G24" i="2"/>
  <c r="G25" i="2"/>
  <c r="G26" i="2"/>
  <c r="G27" i="2"/>
  <c r="G23" i="2"/>
  <c r="H17" i="2"/>
  <c r="H18" i="2"/>
  <c r="H19" i="2"/>
  <c r="H20" i="2"/>
  <c r="H16" i="2"/>
  <c r="G10" i="2"/>
  <c r="G11" i="2"/>
  <c r="G12" i="2"/>
  <c r="G13" i="2"/>
  <c r="G9" i="2"/>
  <c r="H3" i="2"/>
  <c r="H4" i="2"/>
  <c r="H5" i="2"/>
  <c r="H6" i="2"/>
  <c r="H2" i="2"/>
  <c r="G6" i="2" a="1"/>
  <c r="G6" i="2" s="1"/>
  <c r="G5" i="2" a="1"/>
  <c r="G5" i="2" s="1"/>
  <c r="G4" i="2" a="1"/>
  <c r="G4" i="2" s="1"/>
  <c r="G3" i="2" a="1"/>
  <c r="G3" i="2" s="1"/>
  <c r="G2" i="2" a="1"/>
  <c r="G2" i="2" s="1"/>
  <c r="I17" i="1" a="1"/>
  <c r="I17" i="1" s="1"/>
  <c r="I18" i="1" a="1"/>
  <c r="I18" i="1" s="1"/>
  <c r="I19" i="1" a="1"/>
  <c r="I19" i="1" s="1"/>
  <c r="I20" i="1" a="1"/>
  <c r="I20" i="1"/>
  <c r="J18" i="1" a="1"/>
  <c r="J18" i="1" s="1"/>
  <c r="J19" i="1" a="1"/>
  <c r="J19" i="1" s="1"/>
  <c r="J20" i="1" a="1"/>
  <c r="J20" i="1" s="1"/>
  <c r="J17" i="1" a="1"/>
  <c r="J17" i="1" s="1"/>
  <c r="E18" i="1"/>
  <c r="E19" i="1"/>
  <c r="E20" i="1"/>
  <c r="E21" i="1"/>
  <c r="E17" i="1"/>
  <c r="I11" i="1" a="1"/>
  <c r="I11" i="1" s="1"/>
  <c r="I13" i="1" a="1"/>
  <c r="I13" i="1" s="1"/>
  <c r="I14" i="1" a="1"/>
  <c r="I14" i="1" s="1"/>
  <c r="H13" i="1"/>
  <c r="H14" i="1"/>
  <c r="G11" i="1" a="1"/>
  <c r="G11" i="1" s="1"/>
  <c r="H11" i="1" s="1"/>
  <c r="G12" i="1" a="1"/>
  <c r="G12" i="1" s="1"/>
  <c r="I12" i="1" s="1" a="1"/>
  <c r="I12" i="1" s="1"/>
  <c r="G13" i="1" a="1"/>
  <c r="G13" i="1"/>
  <c r="G14" i="1" a="1"/>
  <c r="G14" i="1"/>
  <c r="G10" i="1" a="1"/>
  <c r="G10" i="1" s="1"/>
  <c r="I10" i="1" s="1" a="1"/>
  <c r="I10" i="1" s="1"/>
  <c r="H12" i="1" l="1"/>
  <c r="H1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<sst xmlns="http://schemas.openxmlformats.org/spreadsheetml/2006/main" count="150" uniqueCount="110">
  <si>
    <t>Task</t>
  </si>
  <si>
    <t>Challenge</t>
  </si>
  <si>
    <t>1</t>
  </si>
  <si>
    <t>Write an IF formula to check if a student's score is above 50. If yes, return 'Pass', otherwise 'Fail'.</t>
  </si>
  <si>
    <t>2</t>
  </si>
  <si>
    <t>Create a nested IF formula to assign grades: A (90-100), B (80-89), C (70-79), D (60-69), F (below 60).</t>
  </si>
  <si>
    <t>3</t>
  </si>
  <si>
    <t>Use an IF formula to check if a given date is a weekend or a weekday.</t>
  </si>
  <si>
    <t>4</t>
  </si>
  <si>
    <t>Write a formula to determine commission rates: 5% if sales &gt; 5000, 3% if sales between 2000-5000, else 1%.</t>
  </si>
  <si>
    <t>5</t>
  </si>
  <si>
    <t>Create a formula to categorize expenses: 'High' if above $1000, 'Medium' if between $500-$1000, 'Low' otherwise.</t>
  </si>
  <si>
    <t>Use IF with AND to check if a student scored above 80 in both Math and Science; return 'Excellent' otherwise 'Needs Improvement'.</t>
  </si>
  <si>
    <t>Use IF with OR to determine if an order qualifies for free shipping (total &gt; 100 OR membership = 'Gold').</t>
  </si>
  <si>
    <t>Check if an employee is eligible for a bonus: Sales &gt; 10000 AND Experience &gt; 5 years.</t>
  </si>
  <si>
    <t>Write an IF formula with OR to check if a product is out of stock (Stock = 0 OR Status = 'Discontinued').</t>
  </si>
  <si>
    <t>Use IF with AND to verify if a candidate qualifies for an interview (Experience &gt; 3 years AND Degree = 'Yes').</t>
  </si>
  <si>
    <t>Use COUNTIFS to count the number of students who scored above 80 in both Math and Science.</t>
  </si>
  <si>
    <t>Use SUMIFS to calculate the total sales for a specific region and product category.</t>
  </si>
  <si>
    <t>Use AVERAGEIFS to find the average salary of employees in the 'IT' department with more than 5 years of experience.</t>
  </si>
  <si>
    <t>Use COUNTIFS to determine how many orders were placed in 'January' and have a status of 'Completed'.</t>
  </si>
  <si>
    <t>Use SUMIFS to get the total revenue for sales greater than $500 in the 'Electronics' category.</t>
  </si>
  <si>
    <t>Use CONCATENATE (or TEXTJOIN) to merge first and last names into a full name.</t>
  </si>
  <si>
    <t>Use LEFT, RIGHT, and MID functions to extract specific parts of a given string.</t>
  </si>
  <si>
    <t>Format a given date using the TEXT function to display it as 'Monday, Jan 1, 2025'.</t>
  </si>
  <si>
    <t>Convert a number into a properly formatted currency value using the TEXT function.</t>
  </si>
  <si>
    <t>Use FIND and LEN functions to extract the last name from a full name.</t>
  </si>
  <si>
    <t>Employee</t>
  </si>
  <si>
    <t>Department</t>
  </si>
  <si>
    <t>Experience (Years)</t>
  </si>
  <si>
    <t>John</t>
  </si>
  <si>
    <t>IT</t>
  </si>
  <si>
    <t>Sarah</t>
  </si>
  <si>
    <t>HR</t>
  </si>
  <si>
    <t>Mike</t>
  </si>
  <si>
    <t>Lily</t>
  </si>
  <si>
    <t>Adam</t>
  </si>
  <si>
    <t>Finance</t>
  </si>
  <si>
    <t>Student</t>
  </si>
  <si>
    <t>Math Score</t>
  </si>
  <si>
    <t>Science Score</t>
  </si>
  <si>
    <t>A</t>
  </si>
  <si>
    <t>B</t>
  </si>
  <si>
    <t>C</t>
  </si>
  <si>
    <t>D</t>
  </si>
  <si>
    <t>E</t>
  </si>
  <si>
    <t>Grade</t>
  </si>
  <si>
    <t>Total</t>
  </si>
  <si>
    <t>Result</t>
  </si>
  <si>
    <t>Days</t>
  </si>
  <si>
    <t>Monday</t>
  </si>
  <si>
    <t>Wednesday</t>
  </si>
  <si>
    <t>Sunday</t>
  </si>
  <si>
    <t>satarday</t>
  </si>
  <si>
    <t>Friday</t>
  </si>
  <si>
    <t>Weekdays/weekend</t>
  </si>
  <si>
    <t>Sales person</t>
  </si>
  <si>
    <t>Sales</t>
  </si>
  <si>
    <t>Commission</t>
  </si>
  <si>
    <t>Cate Expenses</t>
  </si>
  <si>
    <t>Jay</t>
  </si>
  <si>
    <t>Lay</t>
  </si>
  <si>
    <t>man</t>
  </si>
  <si>
    <t>john</t>
  </si>
  <si>
    <t>Order ID</t>
  </si>
  <si>
    <t>Total Amount (Col B)</t>
  </si>
  <si>
    <t>Shipping Status (Result)</t>
  </si>
  <si>
    <t>Silver</t>
  </si>
  <si>
    <t>Gold</t>
  </si>
  <si>
    <t>Bronze</t>
  </si>
  <si>
    <t xml:space="preserve">Membership </t>
  </si>
  <si>
    <t>Bonus Status (Result)</t>
  </si>
  <si>
    <t>Smith</t>
  </si>
  <si>
    <t>Jones</t>
  </si>
  <si>
    <t>Brown</t>
  </si>
  <si>
    <t>Davis</t>
  </si>
  <si>
    <t>Wilson</t>
  </si>
  <si>
    <t xml:space="preserve">Experience </t>
  </si>
  <si>
    <t>Product</t>
  </si>
  <si>
    <t>Availability (Result)</t>
  </si>
  <si>
    <t>Widget A</t>
  </si>
  <si>
    <t>Active</t>
  </si>
  <si>
    <t>Widget B</t>
  </si>
  <si>
    <t>Widget C</t>
  </si>
  <si>
    <t>Discontinued</t>
  </si>
  <si>
    <t>Widget D</t>
  </si>
  <si>
    <t>Widget E</t>
  </si>
  <si>
    <t xml:space="preserve">Stock </t>
  </si>
  <si>
    <t xml:space="preserve">Status </t>
  </si>
  <si>
    <t>Degree</t>
  </si>
  <si>
    <t>yes</t>
  </si>
  <si>
    <t xml:space="preserve">no </t>
  </si>
  <si>
    <t>interview result</t>
  </si>
  <si>
    <t>Count (Result)</t>
  </si>
  <si>
    <t xml:space="preserve">Math </t>
  </si>
  <si>
    <t xml:space="preserve">Science </t>
  </si>
  <si>
    <t>Sales Amount (B)</t>
  </si>
  <si>
    <t>Region (C)</t>
  </si>
  <si>
    <t>Category (D)</t>
  </si>
  <si>
    <t>Result (Total)</t>
  </si>
  <si>
    <t>$500</t>
  </si>
  <si>
    <t>West</t>
  </si>
  <si>
    <t>Electronics</t>
  </si>
  <si>
    <t>$200</t>
  </si>
  <si>
    <t>East</t>
  </si>
  <si>
    <t>$800</t>
  </si>
  <si>
    <t>Clothing</t>
  </si>
  <si>
    <t>$350</t>
  </si>
  <si>
    <t>$150</t>
  </si>
  <si>
    <t>North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</si>
</sst>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2" xfId="0" applyBorder="1"/>
    <xf numFmtId="0" fontId="1" fillId="0" borderId="2" xfId="0" applyFont="1" applyBorder="1"/>
    <xf numFmtId="0" fontId="2" fillId="3" borderId="2" xfId="0" applyFont="1" applyFill="1" applyBorder="1"/>
    <xf numFmtId="0" fontId="2" fillId="4" borderId="2" xfId="0" applyFont="1" applyFill="1" applyBorder="1"/>
    <xf numFmtId="0" fontId="1" fillId="0" borderId="0" xfId="0" applyFont="1"/>
    <xf numFmtId="0" fontId="2" fillId="4" borderId="0" xfId="0" applyFont="1" applyFill="1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3" borderId="0" xfId="0" applyFont="1" applyFill="1"/>
    <xf numFmtId="0" fontId="2" fillId="4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16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E8DEB96-9F5F-4D79-B43E-709A3AF09852}">
  <we:reference id="wa200005502" version="1.0.0.13" store="en-US" storeType="OMEX"/>
  <we:alternateReferences>
    <we:reference id="wa200005502" version="1.0.0.13" store="wa200005502" storeType="OMEX"/>
  </we:alternateReferences>
  <we:properties>
    <we:property name="docId" value="&quot;Pre6BdJ6AC2Qqvh6HVAVa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opLeftCell="C1" workbookViewId="0">
      <selection activeCell="D9" sqref="D9:G14"/>
    </sheetView>
  </sheetViews>
  <sheetFormatPr defaultColWidth="14.44140625" defaultRowHeight="15" customHeight="1" x14ac:dyDescent="0.3"/>
  <cols>
    <col min="1" max="1" width="8.6640625" customWidth="1"/>
    <col min="2" max="2" width="98.109375" customWidth="1"/>
    <col min="3" max="3" width="8.6640625" customWidth="1"/>
    <col min="4" max="4" width="10.44140625" bestFit="1" customWidth="1"/>
    <col min="5" max="5" width="17.6640625" bestFit="1" customWidth="1"/>
    <col min="6" max="6" width="16.44140625" bestFit="1" customWidth="1"/>
    <col min="7" max="7" width="11.109375" bestFit="1" customWidth="1"/>
    <col min="8" max="8" width="6.109375" bestFit="1" customWidth="1"/>
    <col min="9" max="9" width="10.88671875" bestFit="1" customWidth="1"/>
    <col min="10" max="10" width="12.6640625" bestFit="1" customWidth="1"/>
    <col min="11" max="26" width="8.6640625" customWidth="1"/>
  </cols>
  <sheetData>
    <row r="1" spans="1:26" ht="14.4" x14ac:dyDescent="0.3">
      <c r="A1" s="1" t="s">
        <v>0</v>
      </c>
      <c r="B1" s="1" t="s">
        <v>1</v>
      </c>
      <c r="C1" s="2"/>
      <c r="D1" s="7" t="s">
        <v>27</v>
      </c>
      <c r="E1" s="7" t="s">
        <v>28</v>
      </c>
      <c r="F1" s="7" t="s">
        <v>29</v>
      </c>
      <c r="G1" s="15"/>
      <c r="V1" s="2"/>
      <c r="W1" s="2"/>
      <c r="X1" s="2"/>
      <c r="Y1" s="2"/>
      <c r="Z1" s="2"/>
    </row>
    <row r="2" spans="1:26" ht="14.4" x14ac:dyDescent="0.3">
      <c r="A2" s="3" t="s">
        <v>2</v>
      </c>
      <c r="B2" s="4" t="s">
        <v>3</v>
      </c>
      <c r="C2" s="2"/>
      <c r="D2" s="5" t="s">
        <v>30</v>
      </c>
      <c r="E2" s="5" t="s">
        <v>31</v>
      </c>
      <c r="F2" s="5">
        <v>6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 x14ac:dyDescent="0.3">
      <c r="A3" s="3" t="s">
        <v>4</v>
      </c>
      <c r="B3" s="4" t="s">
        <v>5</v>
      </c>
      <c r="C3" s="2"/>
      <c r="D3" s="5" t="s">
        <v>32</v>
      </c>
      <c r="E3" s="5" t="s">
        <v>33</v>
      </c>
      <c r="F3" s="5">
        <v>4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 x14ac:dyDescent="0.3">
      <c r="A4" s="3" t="s">
        <v>6</v>
      </c>
      <c r="B4" s="11" t="s">
        <v>7</v>
      </c>
      <c r="C4" s="2"/>
      <c r="D4" s="5" t="s">
        <v>34</v>
      </c>
      <c r="E4" s="5" t="s">
        <v>31</v>
      </c>
      <c r="F4" s="5">
        <v>8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 x14ac:dyDescent="0.3">
      <c r="A5" s="3" t="s">
        <v>8</v>
      </c>
      <c r="B5" s="4" t="s">
        <v>9</v>
      </c>
      <c r="C5" s="2"/>
      <c r="D5" s="5" t="s">
        <v>35</v>
      </c>
      <c r="E5" s="5" t="s">
        <v>31</v>
      </c>
      <c r="F5" s="5">
        <v>3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 x14ac:dyDescent="0.3">
      <c r="A6" s="3" t="s">
        <v>10</v>
      </c>
      <c r="B6" s="4" t="s">
        <v>11</v>
      </c>
      <c r="C6" s="2"/>
      <c r="D6" s="5" t="s">
        <v>36</v>
      </c>
      <c r="E6" s="5" t="s">
        <v>37</v>
      </c>
      <c r="F6" s="5">
        <v>7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4" x14ac:dyDescent="0.3"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4" x14ac:dyDescent="0.3"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4" x14ac:dyDescent="0.3">
      <c r="C9" s="2"/>
      <c r="D9" s="8" t="s">
        <v>38</v>
      </c>
      <c r="E9" s="8" t="s">
        <v>39</v>
      </c>
      <c r="F9" s="8" t="s">
        <v>40</v>
      </c>
      <c r="G9" s="10" t="s">
        <v>47</v>
      </c>
      <c r="H9" s="10" t="s">
        <v>48</v>
      </c>
      <c r="I9" s="10" t="s">
        <v>46</v>
      </c>
      <c r="V9" s="2"/>
      <c r="W9" s="2"/>
      <c r="X9" s="2"/>
      <c r="Y9" s="2"/>
      <c r="Z9" s="2"/>
    </row>
    <row r="10" spans="1:26" ht="14.4" x14ac:dyDescent="0.3">
      <c r="C10" s="2"/>
      <c r="D10" s="5" t="s">
        <v>41</v>
      </c>
      <c r="E10" s="5">
        <v>79</v>
      </c>
      <c r="F10" s="5">
        <v>99</v>
      </c>
      <c r="G10" cm="1">
        <f t="array" ref="G10">SUM(E10:F10/2)</f>
        <v>89</v>
      </c>
      <c r="H10" s="2" t="str">
        <f>IF(G10&gt;50,"Pass","Fail")</f>
        <v>Pass</v>
      </c>
      <c r="I10" s="2" t="str" cm="1">
        <f t="array" ref="I10">_xlfn.IFS(G10&gt;90,"A",G10&gt;80,"B",G10&gt;70,"C",G10&gt;60,"D",G10&lt;60,"Fail")</f>
        <v>B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 x14ac:dyDescent="0.3">
      <c r="C11" s="2"/>
      <c r="D11" s="5" t="s">
        <v>42</v>
      </c>
      <c r="E11" s="5">
        <v>30</v>
      </c>
      <c r="F11" s="5">
        <v>70</v>
      </c>
      <c r="G11" cm="1">
        <f t="array" ref="G11">SUM(E11:F11/2)</f>
        <v>50</v>
      </c>
      <c r="H11" s="2" t="str">
        <f t="shared" ref="H11:H14" si="0">IF(G11&gt;50,"Pass","Fail")</f>
        <v>Fail</v>
      </c>
      <c r="I11" s="2" t="str" cm="1">
        <f t="array" ref="I11">_xlfn.IFS(G11&gt;90,"A",G11&gt;80,"B",G11&gt;70,"C",G11&gt;60,"D",G11&lt;60,"Fail")</f>
        <v>Fail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4" x14ac:dyDescent="0.3">
      <c r="C12" s="2"/>
      <c r="D12" s="5" t="s">
        <v>43</v>
      </c>
      <c r="E12" s="5">
        <v>97</v>
      </c>
      <c r="F12" s="5">
        <v>89</v>
      </c>
      <c r="G12" cm="1">
        <f t="array" ref="G12">SUM(E12:F12/2)</f>
        <v>93</v>
      </c>
      <c r="H12" s="2" t="str">
        <f t="shared" si="0"/>
        <v>Pass</v>
      </c>
      <c r="I12" s="2" t="str" cm="1">
        <f t="array" ref="I12">_xlfn.IFS(G12&gt;90,"A",G12&gt;80,"B",G12&gt;70,"C",G12&gt;60,"D",G12&lt;60,"Fail")</f>
        <v>A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4" x14ac:dyDescent="0.3">
      <c r="C13" s="2"/>
      <c r="D13" s="5" t="s">
        <v>44</v>
      </c>
      <c r="E13" s="5">
        <v>75</v>
      </c>
      <c r="F13" s="5">
        <v>80</v>
      </c>
      <c r="G13" cm="1">
        <f t="array" ref="G13">SUM(E13:F13/2)</f>
        <v>77.5</v>
      </c>
      <c r="H13" s="2" t="str">
        <f t="shared" si="0"/>
        <v>Pass</v>
      </c>
      <c r="I13" s="2" t="str" cm="1">
        <f t="array" ref="I13">_xlfn.IFS(G13&gt;90,"A",G13&gt;80,"B",G13&gt;70,"C",G13&gt;60,"D",G13&lt;60,"Fail")</f>
        <v>C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4" x14ac:dyDescent="0.3">
      <c r="C14" s="2"/>
      <c r="D14" s="5" t="s">
        <v>45</v>
      </c>
      <c r="E14" s="5">
        <v>50</v>
      </c>
      <c r="F14" s="5">
        <v>90</v>
      </c>
      <c r="G14" cm="1">
        <f t="array" ref="G14">SUM(E14:F14/2)</f>
        <v>70</v>
      </c>
      <c r="H14" s="2" t="str">
        <f t="shared" si="0"/>
        <v>Pass</v>
      </c>
      <c r="I14" s="2" t="str" cm="1">
        <f t="array" ref="I14">_xlfn.IFS(G14&gt;90,"A",G14&gt;80,"B",G14&gt;70,"C",G14&gt;60,"D",G14&lt;60,"Fail")</f>
        <v>D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4" x14ac:dyDescent="0.3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4" x14ac:dyDescent="0.3">
      <c r="C16" s="2"/>
      <c r="D16" s="14" t="s">
        <v>49</v>
      </c>
      <c r="E16" s="14" t="s">
        <v>55</v>
      </c>
      <c r="F16" s="2"/>
      <c r="G16" s="14" t="s">
        <v>56</v>
      </c>
      <c r="H16" s="14" t="s">
        <v>57</v>
      </c>
      <c r="I16" s="14" t="s">
        <v>58</v>
      </c>
      <c r="J16" s="14" t="s">
        <v>59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3:26" ht="14.4" x14ac:dyDescent="0.3">
      <c r="C17" s="2"/>
      <c r="D17" s="12" t="s">
        <v>50</v>
      </c>
      <c r="E17" s="13" t="str">
        <f>IF(OR(D17="Sunday",D17="satarday"),"Weekend","Week day")</f>
        <v>Week day</v>
      </c>
      <c r="F17" s="2"/>
      <c r="G17" s="12" t="s">
        <v>60</v>
      </c>
      <c r="H17" s="13">
        <v>1100</v>
      </c>
      <c r="I17" s="13" t="str" cm="1">
        <f t="array" ref="I17">_xlfn.IFS(H17&gt;=1500,"5%",AND(H17&gt;500,H17&lt;=1500),"3%",H17&lt;=500,"1%")</f>
        <v>3%</v>
      </c>
      <c r="J17" s="13" t="str" cm="1">
        <f t="array" ref="J17">_xlfn.IFS(H17&gt;=1000,"High",AND(H17&gt;=500,H17&lt;=1000),"Medium",H17&lt;=500,"Low")</f>
        <v>High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3:26" ht="14.4" x14ac:dyDescent="0.3">
      <c r="C18" s="2"/>
      <c r="D18" s="12" t="s">
        <v>51</v>
      </c>
      <c r="E18" s="13" t="str">
        <f t="shared" ref="E18:E21" si="1">IF(OR(D18="Sunday",D18="satarday"),"Weekend","Week day")</f>
        <v>Week day</v>
      </c>
      <c r="F18" s="2"/>
      <c r="G18" s="12" t="s">
        <v>61</v>
      </c>
      <c r="H18" s="13">
        <v>2500</v>
      </c>
      <c r="I18" s="13" t="str" cm="1">
        <f t="array" ref="I18">_xlfn.IFS(H18&gt;=1500,"5%",AND(H18&gt;500,H18&lt;=1000),"3%",H18&lt;=500,"1%")</f>
        <v>5%</v>
      </c>
      <c r="J18" s="13" t="str" cm="1">
        <f t="array" ref="J18">_xlfn.IFS(H18&gt;=1000,"High",AND(H18&gt;=500,H18&lt;=1000),"Medium",H18&lt;=500,"Low")</f>
        <v>High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3:26" ht="14.4" x14ac:dyDescent="0.3">
      <c r="C19" s="2"/>
      <c r="D19" s="12" t="s">
        <v>52</v>
      </c>
      <c r="E19" s="13" t="str">
        <f t="shared" si="1"/>
        <v>Weekend</v>
      </c>
      <c r="F19" s="2"/>
      <c r="G19" s="12" t="s">
        <v>62</v>
      </c>
      <c r="H19" s="13">
        <v>658</v>
      </c>
      <c r="I19" s="13" t="str" cm="1">
        <f t="array" ref="I19">_xlfn.IFS(H19&gt;=1500,"5%",AND(H19&gt;500,H19&lt;=1000),"3%",H19&lt;=500,"1%")</f>
        <v>3%</v>
      </c>
      <c r="J19" s="13" t="str" cm="1">
        <f t="array" ref="J19">_xlfn.IFS(H19&gt;=1000,"High",AND(H19&gt;=500,H19&lt;=1000),"Medium",H19&lt;=500,"Low")</f>
        <v>Medium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3:26" ht="14.4" x14ac:dyDescent="0.3">
      <c r="C20" s="2"/>
      <c r="D20" s="12" t="s">
        <v>53</v>
      </c>
      <c r="E20" s="13" t="str">
        <f t="shared" si="1"/>
        <v>Weekend</v>
      </c>
      <c r="F20" s="2"/>
      <c r="G20" s="12" t="s">
        <v>63</v>
      </c>
      <c r="H20" s="13">
        <v>250</v>
      </c>
      <c r="I20" s="13" t="str" cm="1">
        <f t="array" ref="I20">_xlfn.IFS(H20&gt;=1500,"5%",AND(H20&gt;500,H20&lt;=1000),"3%",H20&lt;=500,"1%")</f>
        <v>1%</v>
      </c>
      <c r="J20" s="13" t="str" cm="1">
        <f t="array" ref="J20">_xlfn.IFS(H20&gt;=1000,"High",AND(H20&gt;=500,H20&lt;=1000),"Medium",H20&lt;=500,"Low")</f>
        <v>Low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3:26" ht="15.75" customHeight="1" x14ac:dyDescent="0.3">
      <c r="C21" s="2"/>
      <c r="D21" s="12" t="s">
        <v>54</v>
      </c>
      <c r="E21" s="13" t="str">
        <f t="shared" si="1"/>
        <v>Week day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3:26" ht="15.75" customHeight="1" x14ac:dyDescent="0.3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3:26" ht="15.75" customHeight="1" x14ac:dyDescent="0.3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3:26" ht="15.75" customHeight="1" x14ac:dyDescent="0.3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3:26" ht="15.75" customHeight="1" x14ac:dyDescent="0.3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3:26" ht="15.75" customHeight="1" x14ac:dyDescent="0.3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3:26" ht="15.75" customHeight="1" x14ac:dyDescent="0.3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3:26" ht="15.75" customHeight="1" x14ac:dyDescent="0.3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3:26" ht="15.75" customHeight="1" x14ac:dyDescent="0.3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3:26" ht="15.75" customHeight="1" x14ac:dyDescent="0.3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3:26" ht="15.75" customHeight="1" x14ac:dyDescent="0.3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3:26" ht="15.75" customHeight="1" x14ac:dyDescent="0.3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3:26" ht="15.75" customHeight="1" x14ac:dyDescent="0.3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3:26" ht="15.75" customHeight="1" x14ac:dyDescent="0.3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3:26" ht="15.75" customHeight="1" x14ac:dyDescent="0.3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3:26" ht="15.75" customHeight="1" x14ac:dyDescent="0.3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3:26" ht="15.75" customHeight="1" x14ac:dyDescent="0.3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3:26" ht="15.75" customHeight="1" x14ac:dyDescent="0.3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3:26" ht="15.75" customHeight="1" x14ac:dyDescent="0.3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3:26" ht="15.75" customHeight="1" x14ac:dyDescent="0.3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3:26" ht="15.75" customHeight="1" x14ac:dyDescent="0.3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3:26" ht="15.75" customHeight="1" x14ac:dyDescent="0.3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3:26" ht="15.75" customHeight="1" x14ac:dyDescent="0.3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3:26" ht="15.75" customHeight="1" x14ac:dyDescent="0.3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3:26" ht="15.75" customHeight="1" x14ac:dyDescent="0.3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3:26" ht="15.75" customHeight="1" x14ac:dyDescent="0.3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3:26" ht="15.75" customHeight="1" x14ac:dyDescent="0.3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3:26" ht="15.75" customHeight="1" x14ac:dyDescent="0.3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3:26" ht="15.75" customHeight="1" x14ac:dyDescent="0.3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3:26" ht="15.75" customHeight="1" x14ac:dyDescent="0.3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3:26" ht="15.75" customHeight="1" x14ac:dyDescent="0.3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3:26" ht="15.75" customHeight="1" x14ac:dyDescent="0.3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3:26" ht="15.75" customHeight="1" x14ac:dyDescent="0.3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3:26" ht="15.75" customHeight="1" x14ac:dyDescent="0.3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3:26" ht="15.75" customHeight="1" x14ac:dyDescent="0.3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3:26" ht="15.75" customHeight="1" x14ac:dyDescent="0.3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3:26" ht="15.75" customHeight="1" x14ac:dyDescent="0.3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3:26" ht="15.75" customHeight="1" x14ac:dyDescent="0.3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3:26" ht="15.75" customHeight="1" x14ac:dyDescent="0.3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3:26" ht="15.75" customHeight="1" x14ac:dyDescent="0.3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3:26" ht="15.75" customHeight="1" x14ac:dyDescent="0.3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3:26" ht="15.75" customHeight="1" x14ac:dyDescent="0.3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3:26" ht="15.75" customHeight="1" x14ac:dyDescent="0.3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3:26" ht="15.75" customHeight="1" x14ac:dyDescent="0.3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3:26" ht="15.75" customHeight="1" x14ac:dyDescent="0.3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3:26" ht="15.75" customHeight="1" x14ac:dyDescent="0.3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3:26" ht="15.75" customHeight="1" x14ac:dyDescent="0.3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3:26" ht="15.75" customHeight="1" x14ac:dyDescent="0.3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3:26" ht="15.75" customHeight="1" x14ac:dyDescent="0.3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3:26" ht="15.75" customHeight="1" x14ac:dyDescent="0.3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3:26" ht="15.75" customHeight="1" x14ac:dyDescent="0.3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3:26" ht="15.75" customHeight="1" x14ac:dyDescent="0.3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3:26" ht="15.75" customHeight="1" x14ac:dyDescent="0.3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3:26" ht="15.75" customHeight="1" x14ac:dyDescent="0.3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3:26" ht="15.75" customHeight="1" x14ac:dyDescent="0.3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3:26" ht="15.75" customHeight="1" x14ac:dyDescent="0.3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3:26" ht="15.75" customHeight="1" x14ac:dyDescent="0.3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3:26" ht="15.75" customHeight="1" x14ac:dyDescent="0.3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3:26" ht="15.75" customHeight="1" x14ac:dyDescent="0.3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3:26" ht="15.75" customHeight="1" x14ac:dyDescent="0.3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3:26" ht="15.75" customHeight="1" x14ac:dyDescent="0.3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3:26" ht="15.75" customHeight="1" x14ac:dyDescent="0.3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3:26" ht="15.75" customHeight="1" x14ac:dyDescent="0.3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3:26" ht="15.75" customHeight="1" x14ac:dyDescent="0.3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3:26" ht="15.75" customHeight="1" x14ac:dyDescent="0.3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3:26" ht="15.75" customHeight="1" x14ac:dyDescent="0.3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3:26" ht="15.75" customHeight="1" x14ac:dyDescent="0.3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3:26" ht="15.75" customHeight="1" x14ac:dyDescent="0.3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3:26" ht="15.75" customHeight="1" x14ac:dyDescent="0.3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3:26" ht="15.75" customHeight="1" x14ac:dyDescent="0.3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3:26" ht="15.75" customHeight="1" x14ac:dyDescent="0.3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3:26" ht="15.75" customHeight="1" x14ac:dyDescent="0.3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3:26" ht="15.75" customHeight="1" x14ac:dyDescent="0.3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3:26" ht="15.75" customHeight="1" x14ac:dyDescent="0.3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3:26" ht="15.75" customHeight="1" x14ac:dyDescent="0.3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3:26" ht="15.75" customHeight="1" x14ac:dyDescent="0.3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3:26" ht="15.75" customHeight="1" x14ac:dyDescent="0.3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3:26" ht="15.75" customHeight="1" x14ac:dyDescent="0.3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3:26" ht="15.75" customHeight="1" x14ac:dyDescent="0.3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3:26" ht="15.75" customHeight="1" x14ac:dyDescent="0.3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3:26" ht="15.75" customHeight="1" x14ac:dyDescent="0.3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3:26" ht="15.75" customHeight="1" x14ac:dyDescent="0.3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3:26" ht="15.75" customHeight="1" x14ac:dyDescent="0.3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3:26" ht="15.75" customHeight="1" x14ac:dyDescent="0.3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3:26" ht="15.75" customHeight="1" x14ac:dyDescent="0.3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3:26" ht="15.75" customHeight="1" x14ac:dyDescent="0.3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3:26" ht="15.75" customHeight="1" x14ac:dyDescent="0.3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3:26" ht="15.75" customHeight="1" x14ac:dyDescent="0.3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3:26" ht="15.75" customHeight="1" x14ac:dyDescent="0.3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3:26" ht="15.75" customHeight="1" x14ac:dyDescent="0.3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3:26" ht="15.75" customHeight="1" x14ac:dyDescent="0.3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3:26" ht="15.75" customHeight="1" x14ac:dyDescent="0.3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3:26" ht="15.75" customHeight="1" x14ac:dyDescent="0.3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3:26" ht="15.75" customHeight="1" x14ac:dyDescent="0.3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3:26" ht="15.75" customHeight="1" x14ac:dyDescent="0.3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3:26" ht="15.75" customHeight="1" x14ac:dyDescent="0.3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3:26" ht="15.75" customHeight="1" x14ac:dyDescent="0.3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3:26" ht="15.75" customHeight="1" x14ac:dyDescent="0.3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3:26" ht="15.75" customHeight="1" x14ac:dyDescent="0.3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3:26" ht="15.75" customHeight="1" x14ac:dyDescent="0.3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3:26" ht="15.75" customHeight="1" x14ac:dyDescent="0.3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3:26" ht="15.75" customHeight="1" x14ac:dyDescent="0.3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3:26" ht="15.75" customHeight="1" x14ac:dyDescent="0.3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3:26" ht="15.75" customHeight="1" x14ac:dyDescent="0.3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3:26" ht="15.75" customHeight="1" x14ac:dyDescent="0.3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3:26" ht="15.75" customHeight="1" x14ac:dyDescent="0.3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3:26" ht="15.75" customHeight="1" x14ac:dyDescent="0.3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3:26" ht="15.75" customHeight="1" x14ac:dyDescent="0.3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3:26" ht="15.75" customHeight="1" x14ac:dyDescent="0.3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3:26" ht="15.75" customHeight="1" x14ac:dyDescent="0.3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3:26" ht="15.75" customHeight="1" x14ac:dyDescent="0.3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3:26" ht="15.75" customHeight="1" x14ac:dyDescent="0.3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3:26" ht="15.75" customHeight="1" x14ac:dyDescent="0.3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3:26" ht="15.75" customHeight="1" x14ac:dyDescent="0.3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3:26" ht="15.75" customHeight="1" x14ac:dyDescent="0.3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3:26" ht="15.75" customHeight="1" x14ac:dyDescent="0.3"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3:26" ht="15.75" customHeight="1" x14ac:dyDescent="0.3"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3:26" ht="15.75" customHeight="1" x14ac:dyDescent="0.3"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3:26" ht="15.75" customHeight="1" x14ac:dyDescent="0.3"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3:26" ht="15.75" customHeight="1" x14ac:dyDescent="0.3"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3:26" ht="15.75" customHeight="1" x14ac:dyDescent="0.3"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3:26" ht="15.75" customHeight="1" x14ac:dyDescent="0.3"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3:26" ht="15.75" customHeight="1" x14ac:dyDescent="0.3"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3:26" ht="15.75" customHeight="1" x14ac:dyDescent="0.3"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3:26" ht="15.75" customHeight="1" x14ac:dyDescent="0.3"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3:26" ht="15.75" customHeight="1" x14ac:dyDescent="0.3"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3:26" ht="15.75" customHeight="1" x14ac:dyDescent="0.3"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3:26" ht="15.75" customHeight="1" x14ac:dyDescent="0.3"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3:26" ht="15.75" customHeight="1" x14ac:dyDescent="0.3"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3:26" ht="15.75" customHeight="1" x14ac:dyDescent="0.3"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3:26" ht="15.75" customHeight="1" x14ac:dyDescent="0.3"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3:26" ht="15.75" customHeight="1" x14ac:dyDescent="0.3"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3:26" ht="15.75" customHeight="1" x14ac:dyDescent="0.3"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3:26" ht="15.75" customHeight="1" x14ac:dyDescent="0.3"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3:26" ht="15.75" customHeight="1" x14ac:dyDescent="0.3"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3:26" ht="15.75" customHeight="1" x14ac:dyDescent="0.3"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3:26" ht="15.75" customHeight="1" x14ac:dyDescent="0.3"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3:26" ht="15.75" customHeight="1" x14ac:dyDescent="0.3"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3:26" ht="15.75" customHeight="1" x14ac:dyDescent="0.3"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3:26" ht="15.75" customHeight="1" x14ac:dyDescent="0.3"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3:26" ht="15.75" customHeight="1" x14ac:dyDescent="0.3"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3:26" ht="15.75" customHeight="1" x14ac:dyDescent="0.3"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3:26" ht="15.75" customHeight="1" x14ac:dyDescent="0.3"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3:26" ht="15.75" customHeight="1" x14ac:dyDescent="0.3"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3:26" ht="15.75" customHeight="1" x14ac:dyDescent="0.3"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3:26" ht="15.75" customHeight="1" x14ac:dyDescent="0.3"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3:26" ht="15.75" customHeight="1" x14ac:dyDescent="0.3"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3:26" ht="15.75" customHeight="1" x14ac:dyDescent="0.3"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3:26" ht="15.75" customHeight="1" x14ac:dyDescent="0.3"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3:26" ht="15.75" customHeight="1" x14ac:dyDescent="0.3"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3:26" ht="15.75" customHeight="1" x14ac:dyDescent="0.3"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3:26" ht="15.75" customHeight="1" x14ac:dyDescent="0.3"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3:26" ht="15.75" customHeight="1" x14ac:dyDescent="0.3"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3:26" ht="15.75" customHeight="1" x14ac:dyDescent="0.3"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3:26" ht="15.75" customHeight="1" x14ac:dyDescent="0.3"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3:26" ht="15.75" customHeight="1" x14ac:dyDescent="0.3"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3:26" ht="15.75" customHeight="1" x14ac:dyDescent="0.3"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3:26" ht="15.75" customHeight="1" x14ac:dyDescent="0.3"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3:26" ht="15.75" customHeight="1" x14ac:dyDescent="0.3"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3:26" ht="15.75" customHeight="1" x14ac:dyDescent="0.3"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3:26" ht="15.75" customHeight="1" x14ac:dyDescent="0.3"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3:26" ht="15.75" customHeight="1" x14ac:dyDescent="0.3"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3:26" ht="15.75" customHeight="1" x14ac:dyDescent="0.3"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3:26" ht="15.75" customHeight="1" x14ac:dyDescent="0.3"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3:26" ht="15.75" customHeight="1" x14ac:dyDescent="0.3"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3:26" ht="15.75" customHeight="1" x14ac:dyDescent="0.3"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3:26" ht="15.75" customHeight="1" x14ac:dyDescent="0.3"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3:26" ht="15.75" customHeight="1" x14ac:dyDescent="0.3"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3:26" ht="15.75" customHeight="1" x14ac:dyDescent="0.3"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3:26" ht="15.75" customHeight="1" x14ac:dyDescent="0.3"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3:26" ht="15.75" customHeight="1" x14ac:dyDescent="0.3"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3:26" ht="15.75" customHeight="1" x14ac:dyDescent="0.3"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3:26" ht="15.75" customHeight="1" x14ac:dyDescent="0.3"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3:26" ht="15.75" customHeight="1" x14ac:dyDescent="0.3"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3:26" ht="15.75" customHeight="1" x14ac:dyDescent="0.3"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3:26" ht="15.75" customHeight="1" x14ac:dyDescent="0.3"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3:26" ht="15.75" customHeight="1" x14ac:dyDescent="0.3"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3:26" ht="15.75" customHeight="1" x14ac:dyDescent="0.3"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3:26" ht="15.75" customHeight="1" x14ac:dyDescent="0.3"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3:26" ht="15.75" customHeight="1" x14ac:dyDescent="0.3"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3:26" ht="15.75" customHeight="1" x14ac:dyDescent="0.3"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3:26" ht="15.75" customHeight="1" x14ac:dyDescent="0.3"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3:26" ht="15.75" customHeight="1" x14ac:dyDescent="0.3"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3:26" ht="15.75" customHeight="1" x14ac:dyDescent="0.3"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3:26" ht="15.75" customHeight="1" x14ac:dyDescent="0.3"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3:26" ht="15.75" customHeight="1" x14ac:dyDescent="0.3"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3:26" ht="15.75" customHeight="1" x14ac:dyDescent="0.3"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3:26" ht="15.75" customHeight="1" x14ac:dyDescent="0.3"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3:26" ht="15.75" customHeight="1" x14ac:dyDescent="0.3"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3:26" ht="15.75" customHeight="1" x14ac:dyDescent="0.3"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3:26" ht="15.75" customHeight="1" x14ac:dyDescent="0.3"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3:26" ht="15.75" customHeight="1" x14ac:dyDescent="0.3"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3:26" ht="15.75" customHeight="1" x14ac:dyDescent="0.3"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3:26" ht="15.75" customHeight="1" x14ac:dyDescent="0.3"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3:26" ht="15.75" customHeight="1" x14ac:dyDescent="0.3"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3:26" ht="15.75" customHeight="1" x14ac:dyDescent="0.3"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3:26" ht="15.75" customHeight="1" x14ac:dyDescent="0.3"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3:26" ht="15.75" customHeight="1" x14ac:dyDescent="0.3"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3:26" ht="15.75" customHeight="1" x14ac:dyDescent="0.3"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3:26" ht="15.75" customHeight="1" x14ac:dyDescent="0.3"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3:26" ht="15.75" customHeight="1" x14ac:dyDescent="0.3"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3:26" ht="15.75" customHeight="1" x14ac:dyDescent="0.3"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3:26" ht="15.75" customHeight="1" x14ac:dyDescent="0.3"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3:26" ht="15.75" customHeight="1" x14ac:dyDescent="0.3"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3:26" ht="15.75" customHeight="1" x14ac:dyDescent="0.3"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3:26" ht="15.75" customHeight="1" x14ac:dyDescent="0.3"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3:26" ht="15.75" customHeight="1" x14ac:dyDescent="0.3"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3:26" ht="15.75" customHeight="1" x14ac:dyDescent="0.3"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3:26" ht="15.75" customHeight="1" x14ac:dyDescent="0.3"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3:26" ht="15.75" customHeight="1" x14ac:dyDescent="0.3"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3:26" ht="15.75" customHeight="1" x14ac:dyDescent="0.3"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3:26" ht="15.75" customHeight="1" x14ac:dyDescent="0.3"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3:26" ht="15.75" customHeight="1" x14ac:dyDescent="0.3"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3:26" ht="15.75" customHeight="1" x14ac:dyDescent="0.3"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3:26" ht="15.75" customHeight="1" x14ac:dyDescent="0.3"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3:26" ht="15.75" customHeight="1" x14ac:dyDescent="0.3"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3:26" ht="15.75" customHeight="1" x14ac:dyDescent="0.3"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3:26" ht="15.75" customHeight="1" x14ac:dyDescent="0.3"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3:26" ht="15.75" customHeight="1" x14ac:dyDescent="0.3"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3:26" ht="15.75" customHeight="1" x14ac:dyDescent="0.3"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3:26" ht="15.75" customHeight="1" x14ac:dyDescent="0.3"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3:26" ht="15.75" customHeight="1" x14ac:dyDescent="0.3"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3:26" ht="15.75" customHeight="1" x14ac:dyDescent="0.3"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3:26" ht="15.75" customHeight="1" x14ac:dyDescent="0.3"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3:26" ht="15.75" customHeight="1" x14ac:dyDescent="0.3"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3:26" ht="15.75" customHeight="1" x14ac:dyDescent="0.3"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3:26" ht="15.75" customHeight="1" x14ac:dyDescent="0.3"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3:26" ht="15.75" customHeight="1" x14ac:dyDescent="0.3"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3:26" ht="15.75" customHeight="1" x14ac:dyDescent="0.3"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3:26" ht="15.75" customHeight="1" x14ac:dyDescent="0.3"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3:26" ht="15.75" customHeight="1" x14ac:dyDescent="0.3"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3:26" ht="15.75" customHeight="1" x14ac:dyDescent="0.3"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3:26" ht="15.75" customHeight="1" x14ac:dyDescent="0.3"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3:26" ht="15.75" customHeight="1" x14ac:dyDescent="0.3"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3:26" ht="15.75" customHeight="1" x14ac:dyDescent="0.3"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3:26" ht="15.75" customHeight="1" x14ac:dyDescent="0.3"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3:26" ht="15.75" customHeight="1" x14ac:dyDescent="0.3"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3:26" ht="15.75" customHeight="1" x14ac:dyDescent="0.3"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3:26" ht="15.75" customHeight="1" x14ac:dyDescent="0.3"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3:26" ht="15.75" customHeight="1" x14ac:dyDescent="0.3"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3:26" ht="15.75" customHeight="1" x14ac:dyDescent="0.3"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3:26" ht="15.75" customHeight="1" x14ac:dyDescent="0.3"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3:26" ht="15.75" customHeight="1" x14ac:dyDescent="0.3"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3:26" ht="15.75" customHeight="1" x14ac:dyDescent="0.3"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3:26" ht="15.75" customHeight="1" x14ac:dyDescent="0.3"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3:26" ht="15.75" customHeight="1" x14ac:dyDescent="0.3"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3:26" ht="15.75" customHeight="1" x14ac:dyDescent="0.3"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3:26" ht="15.75" customHeight="1" x14ac:dyDescent="0.3"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3:26" ht="15.75" customHeight="1" x14ac:dyDescent="0.3"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3:26" ht="15.75" customHeight="1" x14ac:dyDescent="0.3"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3:26" ht="15.75" customHeight="1" x14ac:dyDescent="0.3"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3:26" ht="15.75" customHeight="1" x14ac:dyDescent="0.3"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3:26" ht="15.75" customHeight="1" x14ac:dyDescent="0.3"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3:26" ht="15.75" customHeight="1" x14ac:dyDescent="0.3"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3:26" ht="15.75" customHeight="1" x14ac:dyDescent="0.3"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3:26" ht="15.75" customHeight="1" x14ac:dyDescent="0.3"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3:26" ht="15.75" customHeight="1" x14ac:dyDescent="0.3"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3:26" ht="15.75" customHeight="1" x14ac:dyDescent="0.3"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3:26" ht="15.75" customHeight="1" x14ac:dyDescent="0.3"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3:26" ht="15.75" customHeight="1" x14ac:dyDescent="0.3"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3:26" ht="15.75" customHeight="1" x14ac:dyDescent="0.3"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3:26" ht="15.75" customHeight="1" x14ac:dyDescent="0.3"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3:26" ht="15.75" customHeight="1" x14ac:dyDescent="0.3"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3:26" ht="15.75" customHeight="1" x14ac:dyDescent="0.3"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3:26" ht="15.75" customHeight="1" x14ac:dyDescent="0.3"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3:26" ht="15.75" customHeight="1" x14ac:dyDescent="0.3"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3:26" ht="15.75" customHeight="1" x14ac:dyDescent="0.3"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3:26" ht="15.75" customHeight="1" x14ac:dyDescent="0.3"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"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"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"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"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"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"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"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"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"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"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"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"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00"/>
  <sheetViews>
    <sheetView zoomScale="85" zoomScaleNormal="85" workbookViewId="0">
      <selection activeCell="I15" sqref="I15"/>
    </sheetView>
  </sheetViews>
  <sheetFormatPr defaultColWidth="14.44140625" defaultRowHeight="15" customHeight="1" x14ac:dyDescent="0.3"/>
  <cols>
    <col min="1" max="1" width="8.6640625" customWidth="1"/>
    <col min="2" max="2" width="112.6640625" customWidth="1"/>
    <col min="3" max="3" width="8.6640625" customWidth="1"/>
    <col min="4" max="4" width="9.6640625" bestFit="1" customWidth="1"/>
    <col min="5" max="5" width="11.21875" bestFit="1" customWidth="1"/>
    <col min="6" max="6" width="13" bestFit="1" customWidth="1"/>
    <col min="7" max="7" width="28.109375" bestFit="1" customWidth="1"/>
    <col min="8" max="8" width="20.109375" bestFit="1" customWidth="1"/>
    <col min="9" max="9" width="15.109375" bestFit="1" customWidth="1"/>
    <col min="10" max="25" width="8.6640625" customWidth="1"/>
  </cols>
  <sheetData>
    <row r="1" spans="1:9" ht="14.4" x14ac:dyDescent="0.3">
      <c r="A1" s="1" t="s">
        <v>0</v>
      </c>
      <c r="B1" s="1" t="s">
        <v>1</v>
      </c>
      <c r="D1" s="8" t="s">
        <v>38</v>
      </c>
      <c r="E1" s="8" t="s">
        <v>39</v>
      </c>
      <c r="F1" s="8" t="s">
        <v>40</v>
      </c>
      <c r="G1" s="10" t="s">
        <v>47</v>
      </c>
      <c r="H1" s="10" t="s">
        <v>48</v>
      </c>
    </row>
    <row r="2" spans="1:9" ht="14.4" x14ac:dyDescent="0.3">
      <c r="A2" s="3">
        <v>1</v>
      </c>
      <c r="B2" s="4" t="s">
        <v>12</v>
      </c>
      <c r="D2" s="5" t="s">
        <v>41</v>
      </c>
      <c r="E2" s="5">
        <v>79</v>
      </c>
      <c r="F2" s="5">
        <v>99</v>
      </c>
      <c r="G2" cm="1">
        <f t="array" ref="G2">SUM(E2:F2/2)</f>
        <v>89</v>
      </c>
      <c r="H2" t="str">
        <f>IF(AND(E2&gt;80,F2&gt;80),"Excellent","Need Improvement")</f>
        <v>Need Improvement</v>
      </c>
    </row>
    <row r="3" spans="1:9" ht="14.4" x14ac:dyDescent="0.3">
      <c r="A3" s="3">
        <v>2</v>
      </c>
      <c r="B3" s="11" t="s">
        <v>13</v>
      </c>
      <c r="D3" s="5" t="s">
        <v>42</v>
      </c>
      <c r="E3" s="5">
        <v>30</v>
      </c>
      <c r="F3" s="5">
        <v>70</v>
      </c>
      <c r="G3" cm="1">
        <f t="array" ref="G3">SUM(E3:F3/2)</f>
        <v>50</v>
      </c>
      <c r="H3" t="str">
        <f t="shared" ref="H3:H6" si="0">IF(AND(E3&gt;80,F3&gt;80),"Excellent","Need Improvement")</f>
        <v>Need Improvement</v>
      </c>
    </row>
    <row r="4" spans="1:9" ht="14.4" x14ac:dyDescent="0.3">
      <c r="A4" s="3">
        <v>3</v>
      </c>
      <c r="B4" s="11" t="s">
        <v>14</v>
      </c>
      <c r="D4" s="5" t="s">
        <v>43</v>
      </c>
      <c r="E4" s="5">
        <v>97</v>
      </c>
      <c r="F4" s="5">
        <v>89</v>
      </c>
      <c r="G4" cm="1">
        <f t="array" ref="G4">SUM(E4:F4/2)</f>
        <v>93</v>
      </c>
      <c r="H4" t="str">
        <f t="shared" si="0"/>
        <v>Excellent</v>
      </c>
    </row>
    <row r="5" spans="1:9" ht="14.4" x14ac:dyDescent="0.3">
      <c r="A5" s="3">
        <v>4</v>
      </c>
      <c r="B5" s="11" t="s">
        <v>15</v>
      </c>
      <c r="D5" s="5" t="s">
        <v>44</v>
      </c>
      <c r="E5" s="5">
        <v>75</v>
      </c>
      <c r="F5" s="5">
        <v>80</v>
      </c>
      <c r="G5" cm="1">
        <f t="array" ref="G5">SUM(E5:F5/2)</f>
        <v>77.5</v>
      </c>
      <c r="H5" t="str">
        <f t="shared" si="0"/>
        <v>Need Improvement</v>
      </c>
    </row>
    <row r="6" spans="1:9" ht="14.4" x14ac:dyDescent="0.3">
      <c r="A6" s="3">
        <v>5</v>
      </c>
      <c r="B6" s="11" t="s">
        <v>16</v>
      </c>
      <c r="D6" s="5" t="s">
        <v>45</v>
      </c>
      <c r="E6" s="5">
        <v>50</v>
      </c>
      <c r="F6" s="5">
        <v>10</v>
      </c>
      <c r="G6" cm="1">
        <f t="array" ref="G6">SUM(E6:F6/2)</f>
        <v>30</v>
      </c>
      <c r="H6" t="str">
        <f t="shared" si="0"/>
        <v>Need Improvement</v>
      </c>
    </row>
    <row r="8" spans="1:9" ht="15" customHeight="1" x14ac:dyDescent="0.3">
      <c r="D8" s="8" t="s">
        <v>64</v>
      </c>
      <c r="E8" s="8" t="s">
        <v>65</v>
      </c>
      <c r="F8" s="8" t="s">
        <v>70</v>
      </c>
      <c r="G8" s="10" t="s">
        <v>66</v>
      </c>
    </row>
    <row r="9" spans="1:9" ht="15" customHeight="1" x14ac:dyDescent="0.3">
      <c r="D9" s="5">
        <v>1001</v>
      </c>
      <c r="E9" s="5">
        <v>150</v>
      </c>
      <c r="F9" s="5" t="s">
        <v>67</v>
      </c>
      <c r="G9" t="str">
        <f>IF(OR(E9&gt;100,F9="Gold"),"no shipping charge","70$")</f>
        <v>no shipping charge</v>
      </c>
    </row>
    <row r="10" spans="1:9" ht="15" customHeight="1" x14ac:dyDescent="0.3">
      <c r="D10" s="5">
        <v>1002</v>
      </c>
      <c r="E10" s="5">
        <v>45</v>
      </c>
      <c r="F10" s="5" t="s">
        <v>68</v>
      </c>
      <c r="G10" t="str">
        <f t="shared" ref="G10:G13" si="1">IF(OR(E10&gt;100,F10="Gold"),"no shipping charge","70$")</f>
        <v>no shipping charge</v>
      </c>
    </row>
    <row r="11" spans="1:9" ht="15" customHeight="1" x14ac:dyDescent="0.3">
      <c r="D11" s="5">
        <v>1003</v>
      </c>
      <c r="E11" s="5">
        <v>120</v>
      </c>
      <c r="F11" s="5" t="s">
        <v>68</v>
      </c>
      <c r="G11" t="str">
        <f t="shared" si="1"/>
        <v>no shipping charge</v>
      </c>
    </row>
    <row r="12" spans="1:9" ht="15" customHeight="1" x14ac:dyDescent="0.3">
      <c r="D12" s="5">
        <v>1004</v>
      </c>
      <c r="E12" s="5">
        <v>30</v>
      </c>
      <c r="F12" s="5" t="s">
        <v>69</v>
      </c>
      <c r="G12" t="str">
        <f t="shared" si="1"/>
        <v>70$</v>
      </c>
    </row>
    <row r="13" spans="1:9" ht="15" customHeight="1" x14ac:dyDescent="0.3">
      <c r="D13" s="5">
        <v>1005</v>
      </c>
      <c r="E13" s="5">
        <v>85</v>
      </c>
      <c r="F13" s="5" t="s">
        <v>67</v>
      </c>
      <c r="G13" t="str">
        <f t="shared" si="1"/>
        <v>70$</v>
      </c>
    </row>
    <row r="15" spans="1:9" ht="15" customHeight="1" x14ac:dyDescent="0.3">
      <c r="D15" s="8" t="s">
        <v>27</v>
      </c>
      <c r="E15" s="8" t="s">
        <v>57</v>
      </c>
      <c r="F15" s="8" t="s">
        <v>77</v>
      </c>
      <c r="G15" s="8" t="s">
        <v>89</v>
      </c>
      <c r="H15" s="16" t="s">
        <v>71</v>
      </c>
      <c r="I15" s="8" t="s">
        <v>92</v>
      </c>
    </row>
    <row r="16" spans="1:9" ht="15" customHeight="1" x14ac:dyDescent="0.3">
      <c r="D16" s="5" t="s">
        <v>72</v>
      </c>
      <c r="E16" s="5">
        <v>12000</v>
      </c>
      <c r="F16" s="5">
        <v>6</v>
      </c>
      <c r="G16" s="6" t="s">
        <v>90</v>
      </c>
      <c r="H16" t="str">
        <f>IF(AND(E16&gt;10000,F16&gt;5),"Eligible","Not Eligible")</f>
        <v>Eligible</v>
      </c>
      <c r="I16" t="str">
        <f>IF(AND(F16&gt;4,G16="yes"),"qualified","not qualified")</f>
        <v>qualified</v>
      </c>
    </row>
    <row r="17" spans="4:9" ht="15" customHeight="1" x14ac:dyDescent="0.3">
      <c r="D17" s="5" t="s">
        <v>73</v>
      </c>
      <c r="E17" s="5">
        <v>15000</v>
      </c>
      <c r="F17" s="5">
        <v>3</v>
      </c>
      <c r="G17" s="6" t="s">
        <v>90</v>
      </c>
      <c r="H17" t="str">
        <f>IF(AND(E17&gt;10000,F17&gt;5),"Eligible","Not Eligible")</f>
        <v>Not Eligible</v>
      </c>
      <c r="I17" t="str">
        <f t="shared" ref="I17:I20" si="2">IF(AND(F17&gt;4,G17="yes"),"qualified","not qualified")</f>
        <v>not qualified</v>
      </c>
    </row>
    <row r="18" spans="4:9" ht="15" customHeight="1" x14ac:dyDescent="0.3">
      <c r="D18" s="5" t="s">
        <v>74</v>
      </c>
      <c r="E18" s="5">
        <v>8000</v>
      </c>
      <c r="F18" s="5">
        <v>10</v>
      </c>
      <c r="G18" s="6" t="s">
        <v>91</v>
      </c>
      <c r="H18" t="str">
        <f>IF(AND(E18&gt;10000,F18&gt;5),"Eligible","Not Eligible")</f>
        <v>Not Eligible</v>
      </c>
      <c r="I18" t="str">
        <f t="shared" si="2"/>
        <v>not qualified</v>
      </c>
    </row>
    <row r="19" spans="4:9" ht="15" customHeight="1" x14ac:dyDescent="0.3">
      <c r="D19" s="5" t="s">
        <v>75</v>
      </c>
      <c r="E19" s="5">
        <v>11000</v>
      </c>
      <c r="F19" s="5">
        <v>8</v>
      </c>
      <c r="G19" s="6" t="s">
        <v>91</v>
      </c>
      <c r="H19" t="str">
        <f>IF(AND(E19&gt;10000,F19&gt;5),"Eligible","Not Eligible")</f>
        <v>Eligible</v>
      </c>
      <c r="I19" t="str">
        <f t="shared" si="2"/>
        <v>not qualified</v>
      </c>
    </row>
    <row r="20" spans="4:9" ht="15" customHeight="1" x14ac:dyDescent="0.3">
      <c r="D20" s="5" t="s">
        <v>76</v>
      </c>
      <c r="E20" s="5">
        <v>9500</v>
      </c>
      <c r="F20" s="5">
        <v>4</v>
      </c>
      <c r="G20" s="6" t="s">
        <v>90</v>
      </c>
      <c r="H20" t="str">
        <f>IF(AND(E20&gt;10000,F20&gt;5),"Eligible","Not Eligible")</f>
        <v>Not Eligible</v>
      </c>
      <c r="I20" t="str">
        <f t="shared" si="2"/>
        <v>not qualified</v>
      </c>
    </row>
    <row r="21" spans="4:9" ht="15.75" customHeight="1" x14ac:dyDescent="0.3"/>
    <row r="22" spans="4:9" ht="15.75" customHeight="1" x14ac:dyDescent="0.3">
      <c r="D22" s="8" t="s">
        <v>78</v>
      </c>
      <c r="E22" s="8" t="s">
        <v>87</v>
      </c>
      <c r="F22" s="8" t="s">
        <v>88</v>
      </c>
      <c r="G22" s="8" t="s">
        <v>79</v>
      </c>
    </row>
    <row r="23" spans="4:9" ht="15.75" customHeight="1" x14ac:dyDescent="0.3">
      <c r="D23" s="5" t="s">
        <v>80</v>
      </c>
      <c r="E23" s="5">
        <v>15</v>
      </c>
      <c r="F23" s="5" t="s">
        <v>81</v>
      </c>
      <c r="G23" t="str">
        <f>IF(OR(E23=0,F23="Discontinued"),"Out of stock","available")</f>
        <v>available</v>
      </c>
    </row>
    <row r="24" spans="4:9" ht="15.75" customHeight="1" x14ac:dyDescent="0.3">
      <c r="D24" s="5" t="s">
        <v>82</v>
      </c>
      <c r="E24" s="5">
        <v>0</v>
      </c>
      <c r="F24" s="5" t="s">
        <v>81</v>
      </c>
      <c r="G24" t="str">
        <f t="shared" ref="G24:G27" si="3">IF(OR(E24=0,F24="Discontinued"),"Out of stock","available")</f>
        <v>Out of stock</v>
      </c>
    </row>
    <row r="25" spans="4:9" ht="15.75" customHeight="1" x14ac:dyDescent="0.3">
      <c r="D25" s="5" t="s">
        <v>83</v>
      </c>
      <c r="E25" s="5">
        <v>42</v>
      </c>
      <c r="F25" s="5" t="s">
        <v>84</v>
      </c>
      <c r="G25" t="str">
        <f t="shared" si="3"/>
        <v>Out of stock</v>
      </c>
    </row>
    <row r="26" spans="4:9" ht="15.75" customHeight="1" x14ac:dyDescent="0.3">
      <c r="D26" s="5" t="s">
        <v>85</v>
      </c>
      <c r="E26" s="5">
        <v>0</v>
      </c>
      <c r="F26" s="5" t="s">
        <v>84</v>
      </c>
      <c r="G26" t="str">
        <f t="shared" si="3"/>
        <v>Out of stock</v>
      </c>
    </row>
    <row r="27" spans="4:9" ht="15.75" customHeight="1" x14ac:dyDescent="0.3">
      <c r="D27" s="5" t="s">
        <v>86</v>
      </c>
      <c r="E27" s="5">
        <v>110</v>
      </c>
      <c r="F27" s="5" t="s">
        <v>81</v>
      </c>
      <c r="G27" t="str">
        <f t="shared" si="3"/>
        <v>available</v>
      </c>
    </row>
    <row r="28" spans="4:9" ht="15.75" customHeight="1" x14ac:dyDescent="0.3"/>
    <row r="29" spans="4:9" ht="15.75" customHeight="1" x14ac:dyDescent="0.3"/>
    <row r="30" spans="4:9" ht="15.75" customHeight="1" x14ac:dyDescent="0.3"/>
    <row r="31" spans="4:9" ht="15.75" customHeight="1" x14ac:dyDescent="0.3"/>
    <row r="32" spans="4:9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0"/>
  <sheetViews>
    <sheetView tabSelected="1" workbookViewId="0">
      <selection activeCell="B13" sqref="B13"/>
    </sheetView>
  </sheetViews>
  <sheetFormatPr defaultColWidth="14.44140625" defaultRowHeight="15" customHeight="1" x14ac:dyDescent="0.3"/>
  <cols>
    <col min="1" max="1" width="8.6640625" customWidth="1"/>
    <col min="2" max="2" width="106.109375" customWidth="1"/>
    <col min="3" max="5" width="8.6640625" customWidth="1"/>
    <col min="6" max="6" width="9.77734375" bestFit="1" customWidth="1"/>
    <col min="7" max="7" width="21.77734375" bestFit="1" customWidth="1"/>
    <col min="8" max="26" width="8.6640625" customWidth="1"/>
  </cols>
  <sheetData>
    <row r="1" spans="1:8" ht="14.4" x14ac:dyDescent="0.3">
      <c r="A1" s="1" t="s">
        <v>0</v>
      </c>
      <c r="B1" s="1" t="s">
        <v>1</v>
      </c>
    </row>
    <row r="2" spans="1:8" ht="14.4" x14ac:dyDescent="0.3">
      <c r="A2" s="3">
        <v>1</v>
      </c>
      <c r="B2" s="11" t="s">
        <v>17</v>
      </c>
      <c r="D2" t="s">
        <v>38</v>
      </c>
      <c r="E2" s="9" t="s">
        <v>94</v>
      </c>
      <c r="F2" s="9" t="s">
        <v>95</v>
      </c>
      <c r="G2" t="s">
        <v>93</v>
      </c>
    </row>
    <row r="3" spans="1:8" ht="14.4" x14ac:dyDescent="0.3">
      <c r="A3" s="3">
        <v>2</v>
      </c>
      <c r="B3" s="11" t="s">
        <v>18</v>
      </c>
      <c r="D3" t="s">
        <v>41</v>
      </c>
      <c r="E3">
        <v>79</v>
      </c>
      <c r="F3">
        <v>99</v>
      </c>
      <c r="G3">
        <f>COUNTIFS(E2:E6, "&gt;80", F2:F6, "&gt;80")</f>
        <v>1</v>
      </c>
    </row>
    <row r="4" spans="1:8" ht="14.4" x14ac:dyDescent="0.3">
      <c r="A4" s="3">
        <v>3</v>
      </c>
      <c r="B4" s="4" t="s">
        <v>19</v>
      </c>
      <c r="D4" t="s">
        <v>42</v>
      </c>
      <c r="E4">
        <v>30</v>
      </c>
      <c r="F4">
        <v>70</v>
      </c>
      <c r="G4">
        <f t="shared" ref="G4:G7" si="0">COUNTIFS(E3:E7, "&gt;80", F3:F7, "&gt;80")</f>
        <v>1</v>
      </c>
    </row>
    <row r="5" spans="1:8" ht="14.4" x14ac:dyDescent="0.3">
      <c r="A5" s="3">
        <v>4</v>
      </c>
      <c r="B5" s="4" t="s">
        <v>20</v>
      </c>
      <c r="D5" t="s">
        <v>43</v>
      </c>
      <c r="E5">
        <v>97</v>
      </c>
      <c r="F5">
        <v>89</v>
      </c>
      <c r="G5">
        <f t="shared" si="0"/>
        <v>1</v>
      </c>
    </row>
    <row r="6" spans="1:8" ht="14.4" x14ac:dyDescent="0.3">
      <c r="A6" s="3">
        <v>5</v>
      </c>
      <c r="B6" s="4" t="s">
        <v>21</v>
      </c>
      <c r="D6" t="s">
        <v>44</v>
      </c>
      <c r="E6">
        <v>75</v>
      </c>
      <c r="F6">
        <v>80</v>
      </c>
      <c r="G6">
        <f t="shared" si="0"/>
        <v>1</v>
      </c>
    </row>
    <row r="7" spans="1:8" ht="15" customHeight="1" x14ac:dyDescent="0.3">
      <c r="D7" t="s">
        <v>45</v>
      </c>
      <c r="E7">
        <v>50</v>
      </c>
      <c r="F7">
        <v>10</v>
      </c>
      <c r="G7">
        <f t="shared" si="0"/>
        <v>0</v>
      </c>
    </row>
    <row r="9" spans="1:8" ht="15" customHeight="1" x14ac:dyDescent="0.3">
      <c r="D9" t="s">
        <v>64</v>
      </c>
      <c r="E9" t="s">
        <v>96</v>
      </c>
      <c r="F9" t="s">
        <v>97</v>
      </c>
      <c r="G9" t="s">
        <v>98</v>
      </c>
      <c r="H9" t="s">
        <v>99</v>
      </c>
    </row>
    <row r="10" spans="1:8" ht="15" customHeight="1" x14ac:dyDescent="0.3">
      <c r="D10">
        <v>101</v>
      </c>
      <c r="E10" t="s">
        <v>100</v>
      </c>
      <c r="F10" t="s">
        <v>101</v>
      </c>
      <c r="G10" t="s">
        <v>102</v>
      </c>
      <c r="H10">
        <f>SUMIFS(E10:E14, F10:F14, "West", G10:G14, "Electronics")</f>
        <v>0</v>
      </c>
    </row>
    <row r="11" spans="1:8" ht="15" customHeight="1" x14ac:dyDescent="0.3">
      <c r="D11">
        <v>102</v>
      </c>
      <c r="E11" t="s">
        <v>103</v>
      </c>
      <c r="F11" t="s">
        <v>104</v>
      </c>
      <c r="G11" t="s">
        <v>102</v>
      </c>
      <c r="H11">
        <f t="shared" ref="H11:H14" si="1">SUMIFS(E11:E15, F11:F15, "West", G11:G15, "Electronics")</f>
        <v>0</v>
      </c>
    </row>
    <row r="12" spans="1:8" ht="15" customHeight="1" x14ac:dyDescent="0.3">
      <c r="D12">
        <v>103</v>
      </c>
      <c r="E12" t="s">
        <v>105</v>
      </c>
      <c r="F12" t="s">
        <v>101</v>
      </c>
      <c r="G12" t="s">
        <v>106</v>
      </c>
      <c r="H12">
        <f t="shared" si="1"/>
        <v>0</v>
      </c>
    </row>
    <row r="13" spans="1:8" ht="15" customHeight="1" x14ac:dyDescent="0.3">
      <c r="D13">
        <v>104</v>
      </c>
      <c r="E13" t="s">
        <v>107</v>
      </c>
      <c r="F13" t="s">
        <v>101</v>
      </c>
      <c r="G13" t="s">
        <v>102</v>
      </c>
      <c r="H13">
        <f t="shared" si="1"/>
        <v>0</v>
      </c>
    </row>
    <row r="14" spans="1:8" ht="15" customHeight="1" x14ac:dyDescent="0.3">
      <c r="D14">
        <v>105</v>
      </c>
      <c r="E14" t="s">
        <v>108</v>
      </c>
      <c r="F14" t="s">
        <v>109</v>
      </c>
      <c r="G14" t="s">
        <v>102</v>
      </c>
      <c r="H14">
        <f t="shared" si="1"/>
        <v>0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workbookViewId="0">
      <selection activeCell="G13" sqref="G13"/>
    </sheetView>
  </sheetViews>
  <sheetFormatPr defaultColWidth="14.44140625" defaultRowHeight="15" customHeight="1" x14ac:dyDescent="0.3"/>
  <cols>
    <col min="1" max="1" width="8.6640625" customWidth="1"/>
    <col min="2" max="2" width="79.88671875" customWidth="1"/>
    <col min="3" max="26" width="8.6640625" customWidth="1"/>
  </cols>
  <sheetData>
    <row r="1" spans="1:2" ht="14.4" x14ac:dyDescent="0.3">
      <c r="A1" s="1" t="s">
        <v>0</v>
      </c>
      <c r="B1" s="1" t="s">
        <v>1</v>
      </c>
    </row>
    <row r="2" spans="1:2" ht="14.4" x14ac:dyDescent="0.3">
      <c r="A2" s="3">
        <v>1</v>
      </c>
      <c r="B2" s="4" t="s">
        <v>22</v>
      </c>
    </row>
    <row r="3" spans="1:2" ht="14.4" x14ac:dyDescent="0.3">
      <c r="A3" s="3">
        <v>2</v>
      </c>
      <c r="B3" s="4" t="s">
        <v>23</v>
      </c>
    </row>
    <row r="4" spans="1:2" ht="14.4" x14ac:dyDescent="0.3">
      <c r="A4" s="3">
        <v>3</v>
      </c>
      <c r="B4" s="4" t="s">
        <v>24</v>
      </c>
    </row>
    <row r="5" spans="1:2" ht="14.4" x14ac:dyDescent="0.3">
      <c r="A5" s="3">
        <v>4</v>
      </c>
      <c r="B5" s="4" t="s">
        <v>25</v>
      </c>
    </row>
    <row r="6" spans="1:2" ht="14.4" x14ac:dyDescent="0.3">
      <c r="A6" s="3">
        <v>5</v>
      </c>
      <c r="B6" s="4" t="s">
        <v>26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IF and Nesting IF Functions</vt:lpstr>
      <vt:lpstr>Using IF with AND OR Formulas</vt:lpstr>
      <vt:lpstr>COUNTIFS, SUMIFS, AVERAGEIFS</vt:lpstr>
      <vt:lpstr>Excel TEXT Functions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Kunj Mistry</cp:lastModifiedBy>
  <dcterms:modified xsi:type="dcterms:W3CDTF">2026-04-12T17:21:20Z</dcterms:modified>
</cp:coreProperties>
</file>