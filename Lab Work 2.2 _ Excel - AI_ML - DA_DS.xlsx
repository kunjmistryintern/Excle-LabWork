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njm\Downloads\"/>
    </mc:Choice>
  </mc:AlternateContent>
  <xr:revisionPtr revIDLastSave="0" documentId="13_ncr:1_{F302A62E-665D-4132-AE5D-218CEA86B04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LOOKUP Function" sheetId="1" r:id="rId1"/>
    <sheet name="HLOOKUP Function" sheetId="2" r:id="rId2"/>
    <sheet name="INDEX and MATCH Fun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H12" i="2"/>
  <c r="H9" i="2"/>
  <c r="H6" i="2"/>
  <c r="H2" i="2"/>
  <c r="K19" i="1"/>
  <c r="F19" i="1"/>
  <c r="C15" i="1"/>
  <c r="C14" i="1"/>
  <c r="C16" i="1"/>
  <c r="C17" i="1"/>
  <c r="C13" i="1"/>
  <c r="F9" i="1"/>
  <c r="F3" i="1"/>
</calcChain>
</file>

<file path=xl/sharedStrings.xml><?xml version="1.0" encoding="utf-8"?>
<sst xmlns="http://schemas.openxmlformats.org/spreadsheetml/2006/main" count="154" uniqueCount="120">
  <si>
    <t>Task</t>
  </si>
  <si>
    <t>Instructions</t>
  </si>
  <si>
    <t>1</t>
  </si>
  <si>
    <t>Use VLOOKUP to find the price of a product from a product list.</t>
  </si>
  <si>
    <t>2</t>
  </si>
  <si>
    <t>Retrieve the department of an employee using VLOOKUP.</t>
  </si>
  <si>
    <t>3</t>
  </si>
  <si>
    <t>Find the grade of a student based on their marks using VLOOKUP.</t>
  </si>
  <si>
    <t>4</t>
  </si>
  <si>
    <t>Extract the email ID of a customer from a customer database using VLOOKUP.</t>
  </si>
  <si>
    <t>5</t>
  </si>
  <si>
    <t>Use VLOOKUP to get the supplier name based on product ID.</t>
  </si>
  <si>
    <t>Use HLOOKUP to find the sales figures for a specific month.</t>
  </si>
  <si>
    <t>Retrieve the tax rate for a given income bracket using HLOOKUP.</t>
  </si>
  <si>
    <t>Find the discount percentage for a product category using HLOOKUP.</t>
  </si>
  <si>
    <t>Use HLOOKUP to extract currency exchange rates for a given country.</t>
  </si>
  <si>
    <t>Find the passing percentage for an exam from a horizontal grading scale.</t>
  </si>
  <si>
    <t>Use INDEX and MATCH to find the salary of an employee based on their ID.</t>
  </si>
  <si>
    <t>Retrieve the city of a customer using INDEX and MATCH functions.</t>
  </si>
  <si>
    <t>Find the sales amount for a given salesperson using INDEX and MATCH.</t>
  </si>
  <si>
    <t>Use INDEX and MATCH to look up the stock quantity for a given product.</t>
  </si>
  <si>
    <t>Extract a student's name from a database based on roll number.</t>
  </si>
  <si>
    <t>A (Product ID)</t>
  </si>
  <si>
    <t>B (Product Name)</t>
  </si>
  <si>
    <t>C (Price)</t>
  </si>
  <si>
    <t>A101</t>
  </si>
  <si>
    <t>Laptop</t>
  </si>
  <si>
    <t>B202</t>
  </si>
  <si>
    <t>Smartphone</t>
  </si>
  <si>
    <t>C303</t>
  </si>
  <si>
    <t>Headphones</t>
  </si>
  <si>
    <t>D404</t>
  </si>
  <si>
    <t>Monitor</t>
  </si>
  <si>
    <t>Product</t>
  </si>
  <si>
    <t>Price</t>
  </si>
  <si>
    <t>A (Employee ID)</t>
  </si>
  <si>
    <t>B (Name)</t>
  </si>
  <si>
    <t>C (Department)</t>
  </si>
  <si>
    <t>Alice</t>
  </si>
  <si>
    <t>Sales</t>
  </si>
  <si>
    <t>Bob</t>
  </si>
  <si>
    <t>Marketing</t>
  </si>
  <si>
    <t>Charlie</t>
  </si>
  <si>
    <t>IT</t>
  </si>
  <si>
    <t>Emp ID</t>
  </si>
  <si>
    <t>Deepartment</t>
  </si>
  <si>
    <t>A (Student Name)</t>
  </si>
  <si>
    <t>B (Marks)</t>
  </si>
  <si>
    <t>Amit</t>
  </si>
  <si>
    <t>Priya</t>
  </si>
  <si>
    <t>Rahul</t>
  </si>
  <si>
    <t>Sneha</t>
  </si>
  <si>
    <t>Vikram</t>
  </si>
  <si>
    <t>A</t>
  </si>
  <si>
    <t>B</t>
  </si>
  <si>
    <t>C</t>
  </si>
  <si>
    <t>D</t>
  </si>
  <si>
    <t>E</t>
  </si>
  <si>
    <t>F</t>
  </si>
  <si>
    <t>Grade</t>
  </si>
  <si>
    <t>Student Grade</t>
  </si>
  <si>
    <t>min marks</t>
  </si>
  <si>
    <t>A (Customer ID)</t>
  </si>
  <si>
    <t>C (Phone)</t>
  </si>
  <si>
    <t>D (Email)</t>
  </si>
  <si>
    <t>John Doe</t>
  </si>
  <si>
    <t>555-0199</t>
  </si>
  <si>
    <t>john@email.com</t>
  </si>
  <si>
    <t>Jane Smith</t>
  </si>
  <si>
    <t>555-0120</t>
  </si>
  <si>
    <t>jane@email.com</t>
  </si>
  <si>
    <t>Sam Brown</t>
  </si>
  <si>
    <t>555-0145</t>
  </si>
  <si>
    <t>sam@email.com</t>
  </si>
  <si>
    <t>Cust ID</t>
  </si>
  <si>
    <t>Email</t>
  </si>
  <si>
    <t>A (Product ID) </t>
  </si>
  <si>
    <t>C (Supplier)</t>
  </si>
  <si>
    <t>P-001</t>
  </si>
  <si>
    <t>TechCorp</t>
  </si>
  <si>
    <t>P-002</t>
  </si>
  <si>
    <t>Keyboard</t>
  </si>
  <si>
    <t>GearWorks</t>
  </si>
  <si>
    <t>P-003</t>
  </si>
  <si>
    <t>Mouse</t>
  </si>
  <si>
    <t>LogiSupply</t>
  </si>
  <si>
    <t>Product ID</t>
  </si>
  <si>
    <t>Supplier Name</t>
  </si>
  <si>
    <t>Month</t>
  </si>
  <si>
    <t>Jan</t>
  </si>
  <si>
    <t>Feb</t>
  </si>
  <si>
    <t>Mar</t>
  </si>
  <si>
    <t>Apr</t>
  </si>
  <si>
    <t>Min Income</t>
  </si>
  <si>
    <t>Tax Rate</t>
  </si>
  <si>
    <t>Income</t>
  </si>
  <si>
    <t>Category</t>
  </si>
  <si>
    <t>Electronics</t>
  </si>
  <si>
    <t>Clothing</t>
  </si>
  <si>
    <t>Home</t>
  </si>
  <si>
    <t>Toys</t>
  </si>
  <si>
    <t>Discount</t>
  </si>
  <si>
    <t>USD</t>
  </si>
  <si>
    <t>EUR</t>
  </si>
  <si>
    <t>GBP</t>
  </si>
  <si>
    <t xml:space="preserve"> (Country/Code)</t>
  </si>
  <si>
    <t xml:space="preserve"> (Rate vs. INR)</t>
  </si>
  <si>
    <t>Country</t>
  </si>
  <si>
    <t>Exchang  Rate</t>
  </si>
  <si>
    <t>Row 1 (Result)</t>
  </si>
  <si>
    <t>Distinction</t>
  </si>
  <si>
    <t>Pass</t>
  </si>
  <si>
    <t>Fail</t>
  </si>
  <si>
    <t>Row 2 (Min %)</t>
  </si>
  <si>
    <t xml:space="preserve">Passing Percentage </t>
  </si>
  <si>
    <t>Exam Marks</t>
  </si>
  <si>
    <t>C (Salary)</t>
  </si>
  <si>
    <t>E001</t>
  </si>
  <si>
    <t>E002</t>
  </si>
  <si>
    <t>E003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</si>
</sst>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2" xfId="0" applyBorder="1"/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0" fillId="3" borderId="2" xfId="0" applyFill="1" applyBorder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4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L21" sqref="L21"/>
    </sheetView>
  </sheetViews>
  <sheetFormatPr defaultColWidth="14.44140625" defaultRowHeight="15" customHeight="1" x14ac:dyDescent="0.3"/>
  <cols>
    <col min="1" max="1" width="15.33203125" bestFit="1" customWidth="1"/>
    <col min="2" max="2" width="15.44140625" bestFit="1" customWidth="1"/>
    <col min="3" max="3" width="13.5546875" bestFit="1" customWidth="1"/>
    <col min="4" max="4" width="9" customWidth="1"/>
    <col min="5" max="5" width="13.88671875" bestFit="1" customWidth="1"/>
    <col min="6" max="6" width="15" bestFit="1" customWidth="1"/>
    <col min="7" max="7" width="9.44140625" customWidth="1"/>
    <col min="8" max="8" width="15" bestFit="1" customWidth="1"/>
    <col min="9" max="9" width="9.5546875" customWidth="1"/>
    <col min="10" max="10" width="12.6640625" bestFit="1" customWidth="1"/>
    <col min="11" max="11" width="10.88671875" bestFit="1" customWidth="1"/>
    <col min="12" max="12" width="65.6640625" bestFit="1" customWidth="1"/>
    <col min="13" max="26" width="8.6640625" customWidth="1"/>
  </cols>
  <sheetData>
    <row r="1" spans="1:26" ht="14.4" x14ac:dyDescent="0.3">
      <c r="A1" s="10" t="s">
        <v>22</v>
      </c>
      <c r="B1" s="10" t="s">
        <v>23</v>
      </c>
      <c r="C1" s="10" t="s">
        <v>24</v>
      </c>
      <c r="D1" s="2"/>
      <c r="E1" s="2"/>
      <c r="F1" s="2"/>
      <c r="G1" s="2"/>
      <c r="H1" s="2"/>
      <c r="I1" s="2"/>
      <c r="J1" s="2"/>
      <c r="K1" s="1" t="s">
        <v>0</v>
      </c>
      <c r="L1" s="1" t="s">
        <v>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7" t="s">
        <v>25</v>
      </c>
      <c r="B2" s="8" t="s">
        <v>26</v>
      </c>
      <c r="C2" s="7">
        <v>1200</v>
      </c>
      <c r="D2" s="2"/>
      <c r="E2" s="9" t="s">
        <v>33</v>
      </c>
      <c r="F2" s="8" t="s">
        <v>26</v>
      </c>
      <c r="J2" s="2"/>
      <c r="K2" s="3" t="s">
        <v>2</v>
      </c>
      <c r="L2" s="5" t="s">
        <v>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ht="14.4" x14ac:dyDescent="0.3">
      <c r="A3" s="7" t="s">
        <v>27</v>
      </c>
      <c r="B3" s="7" t="s">
        <v>28</v>
      </c>
      <c r="C3" s="7">
        <v>800</v>
      </c>
      <c r="D3" s="2"/>
      <c r="E3" s="9" t="s">
        <v>34</v>
      </c>
      <c r="F3" s="15">
        <f>VLOOKUP(F2,B2:C5,2,TRUE)</f>
        <v>1200</v>
      </c>
      <c r="K3" s="3" t="s">
        <v>4</v>
      </c>
      <c r="L3" s="5" t="s">
        <v>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7" t="s">
        <v>29</v>
      </c>
      <c r="B4" s="7" t="s">
        <v>30</v>
      </c>
      <c r="C4" s="7">
        <v>150</v>
      </c>
      <c r="D4" s="2"/>
      <c r="E4" s="2"/>
      <c r="F4" s="2"/>
      <c r="G4" s="2"/>
      <c r="K4" s="3" t="s">
        <v>6</v>
      </c>
      <c r="L4" s="5" t="s">
        <v>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7" t="s">
        <v>31</v>
      </c>
      <c r="B5" s="7" t="s">
        <v>32</v>
      </c>
      <c r="C5" s="7">
        <v>300</v>
      </c>
      <c r="D5" s="2"/>
      <c r="E5" s="2"/>
      <c r="F5" s="2"/>
      <c r="G5" s="2"/>
      <c r="K5" s="3" t="s">
        <v>8</v>
      </c>
      <c r="L5" s="5" t="s">
        <v>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"/>
      <c r="B6" s="2"/>
      <c r="C6" s="2"/>
      <c r="D6" s="2"/>
      <c r="E6" s="2"/>
      <c r="F6" s="2"/>
      <c r="G6" s="2"/>
      <c r="K6" s="3" t="s">
        <v>10</v>
      </c>
      <c r="L6" s="5" t="s">
        <v>11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10" t="s">
        <v>35</v>
      </c>
      <c r="B7" s="10" t="s">
        <v>36</v>
      </c>
      <c r="C7" s="10" t="s">
        <v>37</v>
      </c>
      <c r="D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7">
        <v>101</v>
      </c>
      <c r="B8" s="7" t="s">
        <v>38</v>
      </c>
      <c r="C8" s="7" t="s">
        <v>39</v>
      </c>
      <c r="D8" s="2"/>
      <c r="E8" s="9" t="s">
        <v>44</v>
      </c>
      <c r="F8" s="11">
        <v>102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7">
        <v>102</v>
      </c>
      <c r="B9" s="7" t="s">
        <v>40</v>
      </c>
      <c r="C9" s="7" t="s">
        <v>41</v>
      </c>
      <c r="D9" s="2"/>
      <c r="E9" s="9" t="s">
        <v>45</v>
      </c>
      <c r="F9" s="15" t="str">
        <f>VLOOKUP(F8,A8:C10,3,TRUE)</f>
        <v>Marketing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7">
        <v>103</v>
      </c>
      <c r="B10" s="7" t="s">
        <v>42</v>
      </c>
      <c r="C10" s="7" t="s">
        <v>43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10" t="s">
        <v>46</v>
      </c>
      <c r="B12" s="10" t="s">
        <v>47</v>
      </c>
      <c r="C12" s="13" t="s">
        <v>60</v>
      </c>
      <c r="E12" s="16" t="s">
        <v>62</v>
      </c>
      <c r="F12" s="16" t="s">
        <v>36</v>
      </c>
      <c r="G12" s="16" t="s">
        <v>63</v>
      </c>
      <c r="H12" s="16" t="s">
        <v>64</v>
      </c>
      <c r="J12" s="16" t="s">
        <v>76</v>
      </c>
      <c r="K12" s="16" t="s">
        <v>23</v>
      </c>
      <c r="L12" s="16" t="s">
        <v>77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6" ht="14.4" x14ac:dyDescent="0.3">
      <c r="A13" s="7" t="s">
        <v>48</v>
      </c>
      <c r="B13" s="7">
        <v>85</v>
      </c>
      <c r="C13" s="12" t="str">
        <f>VLOOKUP(B13,$A$20:$B$25,2,TRUE)</f>
        <v>B</v>
      </c>
      <c r="E13" s="7">
        <v>5001</v>
      </c>
      <c r="F13" s="7" t="s">
        <v>65</v>
      </c>
      <c r="G13" s="7" t="s">
        <v>66</v>
      </c>
      <c r="H13" s="7" t="s">
        <v>67</v>
      </c>
      <c r="J13" s="7" t="s">
        <v>78</v>
      </c>
      <c r="K13" s="7" t="s">
        <v>26</v>
      </c>
      <c r="L13" s="7" t="s">
        <v>79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6" ht="14.4" x14ac:dyDescent="0.3">
      <c r="A14" s="7" t="s">
        <v>49</v>
      </c>
      <c r="B14" s="7">
        <v>92</v>
      </c>
      <c r="C14" s="12" t="str">
        <f>VLOOKUP(B14,$A$20:$B$25,2,TRUE)</f>
        <v>A</v>
      </c>
      <c r="E14" s="7">
        <v>5002</v>
      </c>
      <c r="F14" s="7" t="s">
        <v>68</v>
      </c>
      <c r="G14" s="7" t="s">
        <v>69</v>
      </c>
      <c r="H14" s="7" t="s">
        <v>70</v>
      </c>
      <c r="J14" s="7" t="s">
        <v>80</v>
      </c>
      <c r="K14" s="7" t="s">
        <v>81</v>
      </c>
      <c r="L14" s="7" t="s">
        <v>82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6" ht="14.4" x14ac:dyDescent="0.3">
      <c r="A15" s="7" t="s">
        <v>50</v>
      </c>
      <c r="B15" s="7">
        <v>51</v>
      </c>
      <c r="C15" s="12" t="str">
        <f>VLOOKUP(B15,$A$20:$B$25,2,TRUE)</f>
        <v>E</v>
      </c>
      <c r="E15" s="7">
        <v>5003</v>
      </c>
      <c r="F15" s="7" t="s">
        <v>71</v>
      </c>
      <c r="G15" s="7" t="s">
        <v>72</v>
      </c>
      <c r="H15" s="7" t="s">
        <v>73</v>
      </c>
      <c r="J15" s="7" t="s">
        <v>83</v>
      </c>
      <c r="K15" s="7" t="s">
        <v>84</v>
      </c>
      <c r="L15" s="7" t="s">
        <v>85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6" ht="14.4" x14ac:dyDescent="0.3">
      <c r="A16" s="7" t="s">
        <v>51</v>
      </c>
      <c r="B16" s="7">
        <v>74</v>
      </c>
      <c r="C16" s="12" t="str">
        <f>VLOOKUP(B16,$A$20:$B$25,2,TRUE)</f>
        <v>C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6" ht="14.4" x14ac:dyDescent="0.3">
      <c r="A17" s="7" t="s">
        <v>52</v>
      </c>
      <c r="B17" s="7">
        <v>81</v>
      </c>
      <c r="C17" s="12" t="str">
        <f>VLOOKUP(B17,$A$20:$B$25,2,TRUE)</f>
        <v>B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6" ht="14.4" x14ac:dyDescent="0.3">
      <c r="A18" s="2"/>
      <c r="B18" s="2"/>
      <c r="E18" s="8" t="s">
        <v>74</v>
      </c>
      <c r="F18" s="11">
        <v>5001</v>
      </c>
      <c r="G18" s="2"/>
      <c r="H18" s="2"/>
      <c r="I18" s="2"/>
      <c r="J18" s="9" t="s">
        <v>86</v>
      </c>
      <c r="K18" s="9" t="s">
        <v>83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3" t="s">
        <v>61</v>
      </c>
      <c r="B19" s="14" t="s">
        <v>59</v>
      </c>
      <c r="C19" s="2"/>
      <c r="D19" s="2"/>
      <c r="E19" s="9" t="s">
        <v>75</v>
      </c>
      <c r="F19" s="15" t="str">
        <f>VLOOKUP(F18,E13:H15,4,TRUE)</f>
        <v>john@email.com</v>
      </c>
      <c r="G19" s="2"/>
      <c r="H19" s="2"/>
      <c r="I19" s="2"/>
      <c r="J19" s="9" t="s">
        <v>87</v>
      </c>
      <c r="K19" s="15" t="str">
        <f>VLOOKUP(K18,J12:L15,3,TRUE)</f>
        <v>LogiSupply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1">
        <v>0</v>
      </c>
      <c r="B20" s="9" t="s">
        <v>58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11">
        <v>50</v>
      </c>
      <c r="B21" s="9" t="s">
        <v>57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11">
        <v>60</v>
      </c>
      <c r="B22" s="9" t="s">
        <v>56</v>
      </c>
      <c r="C22" s="2"/>
      <c r="D22" s="2"/>
      <c r="E22" s="2"/>
      <c r="F22" s="2"/>
      <c r="G22" s="6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11">
        <v>70</v>
      </c>
      <c r="B23" s="9" t="s">
        <v>55</v>
      </c>
      <c r="C23" s="2"/>
      <c r="D23" s="2"/>
      <c r="E23" s="2"/>
      <c r="F23" s="2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11">
        <v>80</v>
      </c>
      <c r="B24" s="9" t="s">
        <v>54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11">
        <v>90</v>
      </c>
      <c r="B25" s="9" t="s">
        <v>53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J19" sqref="J19"/>
    </sheetView>
  </sheetViews>
  <sheetFormatPr defaultColWidth="14.44140625" defaultRowHeight="15" customHeight="1" x14ac:dyDescent="0.3"/>
  <cols>
    <col min="1" max="1" width="14.109375" bestFit="1" customWidth="1"/>
    <col min="2" max="2" width="9.88671875" bestFit="1" customWidth="1"/>
    <col min="3" max="3" width="12.5546875" bestFit="1" customWidth="1"/>
    <col min="4" max="4" width="10.33203125" bestFit="1" customWidth="1"/>
    <col min="5" max="6" width="8.6640625" customWidth="1"/>
    <col min="7" max="7" width="17" bestFit="1" customWidth="1"/>
    <col min="8" max="8" width="6" bestFit="1" customWidth="1"/>
    <col min="9" max="10" width="8.6640625" customWidth="1"/>
    <col min="11" max="11" width="12.109375" customWidth="1"/>
    <col min="12" max="12" width="60.88671875" bestFit="1" customWidth="1"/>
    <col min="13" max="26" width="8.6640625" customWidth="1"/>
  </cols>
  <sheetData>
    <row r="1" spans="1:26" ht="14.4" x14ac:dyDescent="0.3">
      <c r="A1" s="10" t="s">
        <v>88</v>
      </c>
      <c r="B1" s="7" t="s">
        <v>89</v>
      </c>
      <c r="C1" s="7" t="s">
        <v>90</v>
      </c>
      <c r="D1" s="7" t="s">
        <v>91</v>
      </c>
      <c r="E1" s="7" t="s">
        <v>92</v>
      </c>
      <c r="G1" s="9" t="s">
        <v>88</v>
      </c>
      <c r="H1" s="9" t="s">
        <v>90</v>
      </c>
      <c r="K1" s="1" t="s">
        <v>0</v>
      </c>
      <c r="L1" s="1" t="s">
        <v>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10" t="s">
        <v>39</v>
      </c>
      <c r="B2" s="7">
        <v>5000</v>
      </c>
      <c r="C2" s="7">
        <v>6200</v>
      </c>
      <c r="D2" s="7">
        <v>4800</v>
      </c>
      <c r="E2" s="7">
        <v>7100</v>
      </c>
      <c r="G2" s="9" t="s">
        <v>39</v>
      </c>
      <c r="H2" s="17">
        <f>HLOOKUP(H1,A1:E2,2,)</f>
        <v>6200</v>
      </c>
      <c r="K2" s="3" t="s">
        <v>2</v>
      </c>
      <c r="L2" s="5" t="s">
        <v>12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G3" s="2"/>
      <c r="K3" s="3" t="s">
        <v>4</v>
      </c>
      <c r="L3" s="5" t="s">
        <v>13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G4" s="2"/>
      <c r="H4" s="2"/>
      <c r="I4" s="2"/>
      <c r="K4" s="3" t="s">
        <v>6</v>
      </c>
      <c r="L4" s="5" t="s">
        <v>14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10" t="s">
        <v>93</v>
      </c>
      <c r="B5" s="7">
        <v>0</v>
      </c>
      <c r="C5" s="7">
        <v>20000</v>
      </c>
      <c r="D5" s="7">
        <v>50000</v>
      </c>
      <c r="E5" s="7">
        <v>100000</v>
      </c>
      <c r="G5" s="9" t="s">
        <v>95</v>
      </c>
      <c r="H5" s="11">
        <v>65013</v>
      </c>
      <c r="I5" s="2"/>
      <c r="K5" s="3" t="s">
        <v>8</v>
      </c>
      <c r="L5" s="5" t="s">
        <v>15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10" t="s">
        <v>94</v>
      </c>
      <c r="B6" s="7">
        <v>0</v>
      </c>
      <c r="C6" s="7">
        <v>0.1</v>
      </c>
      <c r="D6" s="7">
        <v>0.2</v>
      </c>
      <c r="E6" s="7">
        <v>0.3</v>
      </c>
      <c r="G6" s="9" t="s">
        <v>94</v>
      </c>
      <c r="H6" s="17">
        <f>HLOOKUP(H5,B5:E6,2)</f>
        <v>0.2</v>
      </c>
      <c r="I6" s="2"/>
      <c r="K6" s="3" t="s">
        <v>10</v>
      </c>
      <c r="L6" s="5" t="s">
        <v>16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96</v>
      </c>
      <c r="B8" s="7" t="s">
        <v>97</v>
      </c>
      <c r="C8" s="7" t="s">
        <v>98</v>
      </c>
      <c r="D8" s="7" t="s">
        <v>99</v>
      </c>
      <c r="E8" s="7" t="s">
        <v>100</v>
      </c>
      <c r="G8" s="9" t="s">
        <v>96</v>
      </c>
      <c r="H8" s="9" t="s">
        <v>99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0" t="s">
        <v>101</v>
      </c>
      <c r="B9" s="7">
        <v>0.1</v>
      </c>
      <c r="C9" s="7">
        <v>0.2</v>
      </c>
      <c r="D9" s="7">
        <v>0.15</v>
      </c>
      <c r="E9" s="7">
        <v>0.05</v>
      </c>
      <c r="G9" s="9" t="s">
        <v>101</v>
      </c>
      <c r="H9" s="17">
        <f>HLOOKUP(H8,A8:E9,2,TRUE)</f>
        <v>0.15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13" t="s">
        <v>105</v>
      </c>
      <c r="B11" s="7" t="s">
        <v>102</v>
      </c>
      <c r="C11" s="7" t="s">
        <v>103</v>
      </c>
      <c r="D11" s="7" t="s">
        <v>104</v>
      </c>
      <c r="E11" s="2"/>
      <c r="F11" s="2"/>
      <c r="G11" s="9" t="s">
        <v>107</v>
      </c>
      <c r="H11" s="9" t="s">
        <v>102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13" t="s">
        <v>106</v>
      </c>
      <c r="B12" s="7">
        <v>83.45</v>
      </c>
      <c r="C12" s="7">
        <v>90.12</v>
      </c>
      <c r="D12" s="7">
        <v>105.67</v>
      </c>
      <c r="E12" s="2"/>
      <c r="F12" s="2"/>
      <c r="G12" s="9" t="s">
        <v>108</v>
      </c>
      <c r="H12" s="17">
        <f>HLOOKUP(H11,A11:D12,2,TRUE)</f>
        <v>83.45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0" t="s">
        <v>109</v>
      </c>
      <c r="B14" s="7" t="s">
        <v>110</v>
      </c>
      <c r="C14" s="7" t="s">
        <v>111</v>
      </c>
      <c r="D14" s="7" t="s">
        <v>112</v>
      </c>
      <c r="E14" s="2"/>
      <c r="F14" s="2"/>
      <c r="G14" s="9" t="s">
        <v>115</v>
      </c>
      <c r="H14" s="9" t="s">
        <v>111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10" t="s">
        <v>113</v>
      </c>
      <c r="B15" s="7">
        <v>75</v>
      </c>
      <c r="C15" s="7">
        <v>40</v>
      </c>
      <c r="D15" s="7">
        <v>0</v>
      </c>
      <c r="E15" s="2"/>
      <c r="F15" s="2"/>
      <c r="G15" s="9" t="s">
        <v>114</v>
      </c>
      <c r="H15" s="17">
        <f>HLOOKUP(H14,B14:D15,2,TRUE)</f>
        <v>40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F9" sqref="F9"/>
    </sheetView>
  </sheetViews>
  <sheetFormatPr defaultColWidth="14.44140625" defaultRowHeight="15" customHeight="1" x14ac:dyDescent="0.3"/>
  <cols>
    <col min="1" max="1" width="8.6640625" customWidth="1"/>
    <col min="2" max="2" width="14" bestFit="1" customWidth="1"/>
    <col min="3" max="11" width="8.6640625" customWidth="1"/>
    <col min="12" max="12" width="63.109375" bestFit="1" customWidth="1"/>
    <col min="13" max="26" width="8.6640625" customWidth="1"/>
  </cols>
  <sheetData>
    <row r="1" spans="1:26" ht="14.4" x14ac:dyDescent="0.3">
      <c r="B1" t="s">
        <v>35</v>
      </c>
      <c r="C1" t="s">
        <v>36</v>
      </c>
      <c r="D1" t="s">
        <v>116</v>
      </c>
      <c r="E1" s="2"/>
      <c r="F1" s="2"/>
      <c r="G1" s="2"/>
      <c r="H1" s="2"/>
      <c r="I1" s="2"/>
      <c r="J1" s="2"/>
      <c r="K1" s="1" t="s">
        <v>0</v>
      </c>
      <c r="L1" s="1" t="s">
        <v>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>
        <v>1</v>
      </c>
      <c r="B2" t="s">
        <v>117</v>
      </c>
      <c r="C2" t="s">
        <v>50</v>
      </c>
      <c r="D2">
        <v>50000</v>
      </c>
      <c r="E2" s="2"/>
      <c r="F2" s="2"/>
      <c r="G2" s="2"/>
      <c r="H2" s="2"/>
      <c r="I2" s="2"/>
      <c r="J2" s="2"/>
      <c r="K2" s="3" t="s">
        <v>2</v>
      </c>
      <c r="L2" s="5" t="s">
        <v>17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>
        <v>2</v>
      </c>
      <c r="B3" t="s">
        <v>118</v>
      </c>
      <c r="C3" t="s">
        <v>49</v>
      </c>
      <c r="D3">
        <v>65000</v>
      </c>
      <c r="E3" s="2"/>
      <c r="F3" s="2"/>
      <c r="G3" s="2"/>
      <c r="H3" s="2"/>
      <c r="I3" s="2"/>
      <c r="J3" s="2"/>
      <c r="K3" s="3" t="s">
        <v>4</v>
      </c>
      <c r="L3" s="4" t="s">
        <v>18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>
        <v>3</v>
      </c>
      <c r="B4" t="s">
        <v>119</v>
      </c>
      <c r="C4" t="s">
        <v>48</v>
      </c>
      <c r="D4">
        <v>45000</v>
      </c>
      <c r="E4" s="2"/>
      <c r="F4" s="2"/>
      <c r="G4" s="2"/>
      <c r="H4" s="2"/>
      <c r="I4" s="2"/>
      <c r="J4" s="2"/>
      <c r="K4" s="3" t="s">
        <v>6</v>
      </c>
      <c r="L4" s="4" t="s">
        <v>19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C5" s="2"/>
      <c r="D5" s="2"/>
      <c r="E5" s="2"/>
      <c r="F5" s="2"/>
      <c r="G5" s="2"/>
      <c r="H5" s="2"/>
      <c r="I5" s="2"/>
      <c r="J5" s="2"/>
      <c r="K5" s="3" t="s">
        <v>8</v>
      </c>
      <c r="L5" s="4" t="s">
        <v>20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C6" s="2"/>
      <c r="D6" s="2"/>
      <c r="E6" s="2"/>
      <c r="F6" s="2"/>
      <c r="G6" s="2"/>
      <c r="H6" s="2"/>
      <c r="I6" s="2"/>
      <c r="J6" s="2"/>
      <c r="K6" s="3" t="s">
        <v>10</v>
      </c>
      <c r="L6" s="4" t="s">
        <v>21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 Function</vt:lpstr>
      <vt:lpstr>HLOOKUP Function</vt:lpstr>
      <vt:lpstr>INDEX and MATCH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Kunj Mistry</cp:lastModifiedBy>
  <dcterms:modified xsi:type="dcterms:W3CDTF">2026-04-13T05:27:10Z</dcterms:modified>
</cp:coreProperties>
</file>