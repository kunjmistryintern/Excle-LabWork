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 Data Analysis\Excel\"/>
    </mc:Choice>
  </mc:AlternateContent>
  <xr:revisionPtr revIDLastSave="0" documentId="13_ncr:1_{9CE9667E-3FBD-4EE9-B51E-3513D4A58EC2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Theory" sheetId="1" r:id="rId1"/>
    <sheet name="Pizza Price Prediction" sheetId="2" r:id="rId2"/>
    <sheet name="Lemonade Sold Prediction" sheetId="3" r:id="rId3"/>
    <sheet name="House Price Prediction" sheetId="4" r:id="rId4"/>
    <sheet name="Linear Regression" sheetId="5" r:id="rId5"/>
    <sheet name="Sheet1" sheetId="7" r:id="rId6"/>
    <sheet name="Data Analysis Feature" sheetId="6" r:id="rId7"/>
  </sheet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1" i="6"/>
  <c r="F10" i="6"/>
  <c r="F9" i="6"/>
  <c r="F8" i="6"/>
  <c r="F7" i="6"/>
  <c r="H6" i="6"/>
  <c r="F6" i="6"/>
  <c r="H5" i="6"/>
  <c r="F5" i="6"/>
  <c r="F4" i="6"/>
  <c r="F3" i="6"/>
  <c r="F2" i="6"/>
  <c r="C3" i="5"/>
  <c r="C4" i="5"/>
  <c r="C5" i="5"/>
  <c r="C6" i="5"/>
  <c r="C7" i="5"/>
  <c r="C8" i="5"/>
  <c r="C9" i="5"/>
  <c r="C10" i="5"/>
  <c r="C11" i="5"/>
  <c r="C2" i="5"/>
  <c r="E6" i="5"/>
  <c r="E5" i="5"/>
  <c r="C5" i="4"/>
  <c r="C6" i="4"/>
  <c r="C7" i="4"/>
  <c r="C8" i="4"/>
  <c r="C9" i="4"/>
  <c r="C10" i="4"/>
  <c r="C11" i="4"/>
  <c r="C4" i="4"/>
  <c r="F13" i="4"/>
  <c r="F12" i="4"/>
  <c r="L4" i="4"/>
  <c r="K5" i="4"/>
  <c r="K6" i="4"/>
  <c r="K7" i="4"/>
  <c r="K4" i="4"/>
  <c r="J4" i="4"/>
  <c r="I5" i="4"/>
  <c r="I6" i="4"/>
  <c r="I7" i="4"/>
  <c r="I4" i="4"/>
  <c r="H5" i="4"/>
  <c r="H6" i="4"/>
  <c r="H7" i="4"/>
  <c r="H4" i="4"/>
  <c r="G5" i="4"/>
  <c r="G6" i="4"/>
  <c r="G7" i="4"/>
  <c r="G4" i="4"/>
  <c r="F4" i="4"/>
  <c r="E4" i="4"/>
  <c r="I5" i="3"/>
  <c r="I6" i="3"/>
  <c r="I7" i="3"/>
  <c r="I4" i="3"/>
  <c r="H5" i="3"/>
  <c r="H6" i="3"/>
  <c r="H7" i="3"/>
  <c r="H4" i="3"/>
  <c r="L4" i="3"/>
  <c r="K5" i="3"/>
  <c r="K6" i="3"/>
  <c r="K7" i="3"/>
  <c r="K4" i="3"/>
  <c r="G5" i="3"/>
  <c r="G6" i="3"/>
  <c r="G7" i="3"/>
  <c r="G4" i="3"/>
  <c r="F4" i="3"/>
  <c r="E4" i="3"/>
  <c r="C5" i="2"/>
  <c r="C6" i="2"/>
  <c r="C7" i="2"/>
  <c r="C8" i="2"/>
  <c r="C9" i="2"/>
  <c r="C10" i="2"/>
  <c r="C11" i="2"/>
  <c r="C12" i="2"/>
  <c r="C4" i="2"/>
  <c r="F13" i="2"/>
  <c r="F12" i="2"/>
  <c r="L4" i="2"/>
  <c r="K5" i="2"/>
  <c r="K6" i="2"/>
  <c r="K7" i="2"/>
  <c r="K4" i="2"/>
  <c r="H5" i="2"/>
  <c r="H6" i="2"/>
  <c r="H7" i="2"/>
  <c r="H4" i="2"/>
  <c r="G4" i="2"/>
  <c r="E4" i="2"/>
  <c r="F4" i="2"/>
  <c r="J4" i="3" l="1"/>
  <c r="F13" i="3"/>
  <c r="C7" i="3" s="1"/>
  <c r="C10" i="3"/>
  <c r="C11" i="3"/>
  <c r="C5" i="3"/>
  <c r="C8" i="3"/>
  <c r="I4" i="2"/>
  <c r="G7" i="2"/>
  <c r="I7" i="2" s="1"/>
  <c r="G6" i="2"/>
  <c r="I6" i="2" s="1"/>
  <c r="G5" i="2"/>
  <c r="I5" i="2" s="1"/>
  <c r="J4" i="2" s="1"/>
  <c r="C6" i="3" l="1"/>
  <c r="C9" i="3"/>
  <c r="C4" i="3"/>
</calcChain>
</file>

<file path=xl/sharedStrings.xml><?xml version="1.0" encoding="utf-8"?>
<sst xmlns="http://schemas.openxmlformats.org/spreadsheetml/2006/main" count="157" uniqueCount="101">
  <si>
    <r>
      <rPr>
        <b/>
        <sz val="12"/>
        <color rgb="FF000000"/>
        <rFont val="Arial"/>
        <family val="2"/>
      </rPr>
      <t>Linear Regression</t>
    </r>
    <r>
      <rPr>
        <sz val="12"/>
        <color rgb="FF000000"/>
        <rFont val="Arial"/>
        <family val="2"/>
      </rPr>
      <t xml:space="preserve"> is a </t>
    </r>
    <r>
      <rPr>
        <b/>
        <sz val="12"/>
        <color rgb="FFB45F06"/>
        <rFont val="Arial"/>
        <family val="2"/>
      </rPr>
      <t>machine learning algorithm</t>
    </r>
    <r>
      <rPr>
        <sz val="12"/>
        <color rgb="FF000000"/>
        <rFont val="Arial"/>
        <family val="2"/>
      </rPr>
      <t xml:space="preserve"> used to </t>
    </r>
    <r>
      <rPr>
        <b/>
        <sz val="12"/>
        <color rgb="FFB45F06"/>
        <rFont val="Arial"/>
        <family val="2"/>
      </rPr>
      <t>find relationships between two variables</t>
    </r>
    <r>
      <rPr>
        <sz val="12"/>
        <color rgb="FF000000"/>
        <rFont val="Arial"/>
        <family val="2"/>
      </rPr>
      <t xml:space="preserve"> and </t>
    </r>
    <r>
      <rPr>
        <b/>
        <sz val="12"/>
        <color rgb="FFB45F06"/>
        <rFont val="Arial"/>
        <family val="2"/>
      </rPr>
      <t>make predictions</t>
    </r>
    <r>
      <rPr>
        <sz val="12"/>
        <color rgb="FF000000"/>
        <rFont val="Arial"/>
        <family val="2"/>
      </rPr>
      <t xml:space="preserve">. 
</t>
    </r>
    <r>
      <rPr>
        <b/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 xml:space="preserve"> It fits a straight line 📏 through the given data points to show the trend.</t>
    </r>
  </si>
  <si>
    <t>Y = mX + c</t>
  </si>
  <si>
    <t>Where:</t>
  </si>
  <si>
    <r>
      <rPr>
        <b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 xml:space="preserve"> = What we want to predict (dependent variable)</t>
    </r>
  </si>
  <si>
    <r>
      <rPr>
        <b/>
        <sz val="11"/>
        <color rgb="FF000000"/>
        <rFont val="Arial"/>
        <family val="2"/>
      </rPr>
      <t>X</t>
    </r>
    <r>
      <rPr>
        <sz val="11"/>
        <color rgb="FF000000"/>
        <rFont val="Arial"/>
        <family val="2"/>
      </rPr>
      <t xml:space="preserve"> = Known value (independent variable)</t>
    </r>
  </si>
  <si>
    <r>
      <rPr>
        <b/>
        <sz val="11"/>
        <color rgb="FF000000"/>
        <rFont val="Arial"/>
        <family val="2"/>
      </rPr>
      <t>m</t>
    </r>
    <r>
      <rPr>
        <sz val="11"/>
        <color rgb="FF000000"/>
        <rFont val="Arial"/>
        <family val="2"/>
      </rPr>
      <t xml:space="preserve"> = Slope (Rate of change)</t>
    </r>
  </si>
  <si>
    <r>
      <rPr>
        <b/>
        <sz val="11"/>
        <color rgb="FF000000"/>
        <rFont val="Arial"/>
        <family val="2"/>
      </rPr>
      <t>c</t>
    </r>
    <r>
      <rPr>
        <sz val="11"/>
        <color rgb="FF000000"/>
        <rFont val="Arial"/>
        <family val="2"/>
      </rPr>
      <t xml:space="preserve"> = Intercept (where the line starts ⇒ Starting value when X = 0)</t>
    </r>
  </si>
  <si>
    <t>Calculating Slope (m) and Intercept (c)</t>
  </si>
  <si>
    <t>Manually</t>
  </si>
  <si>
    <r>
      <rPr>
        <b/>
        <sz val="11"/>
        <color rgb="FF000000"/>
        <rFont val="Arial"/>
        <family val="2"/>
      </rPr>
      <t xml:space="preserve">Slope (m) </t>
    </r>
    <r>
      <rPr>
        <sz val="11"/>
        <color rgb="FF000000"/>
        <rFont val="Arial"/>
        <family val="2"/>
      </rPr>
      <t>= Sum of Product of Deviations / Sum of Square of deviation for X</t>
    </r>
  </si>
  <si>
    <r>
      <rPr>
        <b/>
        <sz val="11"/>
        <color rgb="FF000000"/>
        <rFont val="Arial"/>
        <family val="2"/>
      </rPr>
      <t xml:space="preserve">Intercept (c) </t>
    </r>
    <r>
      <rPr>
        <sz val="11"/>
        <color rgb="FF000000"/>
        <rFont val="Arial"/>
        <family val="2"/>
      </rPr>
      <t>= Mean of Y - (m * Mean of X)</t>
    </r>
  </si>
  <si>
    <t>By Formula</t>
  </si>
  <si>
    <r>
      <rPr>
        <b/>
        <sz val="11"/>
        <color rgb="FF000000"/>
        <rFont val="Arial"/>
        <family val="2"/>
      </rPr>
      <t>m</t>
    </r>
    <r>
      <rPr>
        <sz val="11"/>
        <color rgb="FF000000"/>
        <rFont val="Arial"/>
        <family val="2"/>
      </rPr>
      <t xml:space="preserve"> = SLOPE(Ys, Xs)</t>
    </r>
  </si>
  <si>
    <r>
      <rPr>
        <b/>
        <sz val="11"/>
        <color rgb="FF000000"/>
        <rFont val="Arial"/>
        <family val="2"/>
      </rPr>
      <t>c</t>
    </r>
    <r>
      <rPr>
        <sz val="11"/>
        <color rgb="FF000000"/>
        <rFont val="Arial"/>
        <family val="2"/>
      </rPr>
      <t xml:space="preserve"> = INTERCEPT(Ys, Xs)</t>
    </r>
  </si>
  <si>
    <t>🍕</t>
  </si>
  <si>
    <t>💵</t>
  </si>
  <si>
    <t>X</t>
  </si>
  <si>
    <t>Y</t>
  </si>
  <si>
    <t>Calculation for Slope &amp; Intercept</t>
  </si>
  <si>
    <t>Pizza Size (inch)</t>
  </si>
  <si>
    <t>Price</t>
  </si>
  <si>
    <t>Estimated Price</t>
  </si>
  <si>
    <t>Mean (of X)</t>
  </si>
  <si>
    <t>Mean (of Y)</t>
  </si>
  <si>
    <t>Deviations (of X)</t>
  </si>
  <si>
    <t>Deviations (of Y)</t>
  </si>
  <si>
    <t>Product of Deviations</t>
  </si>
  <si>
    <t>Sum of Product of Deviations</t>
  </si>
  <si>
    <t>Square of Deviations (of X)</t>
  </si>
  <si>
    <t>Sum of Square of Deviations (of X)</t>
  </si>
  <si>
    <t>?</t>
  </si>
  <si>
    <r>
      <rPr>
        <b/>
        <sz val="11"/>
        <color rgb="FF000000"/>
        <rFont val="Arial"/>
        <family val="2"/>
      </rPr>
      <t xml:space="preserve">Slope (m) </t>
    </r>
    <r>
      <rPr>
        <sz val="11"/>
        <color rgb="FF000000"/>
        <rFont val="Arial"/>
        <family val="2"/>
      </rPr>
      <t>= Sum of Product of Deviations / Sum of Square of deviation for X</t>
    </r>
  </si>
  <si>
    <r>
      <rPr>
        <b/>
        <sz val="11"/>
        <color rgb="FF000000"/>
        <rFont val="Arial"/>
        <family val="2"/>
      </rPr>
      <t xml:space="preserve">Intercept (c) </t>
    </r>
    <r>
      <rPr>
        <sz val="11"/>
        <color rgb="FF000000"/>
        <rFont val="Arial"/>
        <family val="2"/>
      </rPr>
      <t>= Mean of Y - (m * Mean of X)</t>
    </r>
  </si>
  <si>
    <t>Slope (m) =</t>
  </si>
  <si>
    <t>Intercept (c) =</t>
  </si>
  <si>
    <t>🌡️</t>
  </si>
  <si>
    <t>🍹</t>
  </si>
  <si>
    <t>Temperature (°C)</t>
  </si>
  <si>
    <t>Lemonade Sold</t>
  </si>
  <si>
    <t>Estimated Lemonade Sold</t>
  </si>
  <si>
    <r>
      <rPr>
        <b/>
        <sz val="11"/>
        <color rgb="FF000000"/>
        <rFont val="Arial"/>
        <family val="2"/>
      </rPr>
      <t xml:space="preserve">Slope (m) </t>
    </r>
    <r>
      <rPr>
        <sz val="11"/>
        <color rgb="FF000000"/>
        <rFont val="Arial"/>
        <family val="2"/>
      </rPr>
      <t>= Sum of Product of Deviations / Sum of Square of deviation for X</t>
    </r>
  </si>
  <si>
    <r>
      <rPr>
        <b/>
        <sz val="11"/>
        <color rgb="FF000000"/>
        <rFont val="Arial"/>
        <family val="2"/>
      </rPr>
      <t xml:space="preserve">Intercept (c) </t>
    </r>
    <r>
      <rPr>
        <sz val="11"/>
        <color rgb="FF000000"/>
        <rFont val="Arial"/>
        <family val="2"/>
      </rPr>
      <t>= Mean of Y - (m * Mean of X)</t>
    </r>
  </si>
  <si>
    <t>🏠</t>
  </si>
  <si>
    <t>💰</t>
  </si>
  <si>
    <t>House Size (sq. ft.)</t>
  </si>
  <si>
    <r>
      <rPr>
        <b/>
        <sz val="11"/>
        <color rgb="FF000000"/>
        <rFont val="Arial"/>
        <family val="2"/>
      </rPr>
      <t xml:space="preserve">Slope (m) </t>
    </r>
    <r>
      <rPr>
        <sz val="11"/>
        <color rgb="FF000000"/>
        <rFont val="Arial"/>
        <family val="2"/>
      </rPr>
      <t>= Sum of Product of Deviations / Sum of Square of deviation for X</t>
    </r>
  </si>
  <si>
    <r>
      <rPr>
        <b/>
        <sz val="11"/>
        <color rgb="FF000000"/>
        <rFont val="Arial"/>
        <family val="2"/>
      </rPr>
      <t xml:space="preserve">Intercept (c) </t>
    </r>
    <r>
      <rPr>
        <sz val="11"/>
        <color rgb="FF000000"/>
        <rFont val="Arial"/>
        <family val="2"/>
      </rPr>
      <t>= Mean of Y - (m * Mean of X)</t>
    </r>
  </si>
  <si>
    <t>Task</t>
  </si>
  <si>
    <t>Challenges</t>
  </si>
  <si>
    <t>1</t>
  </si>
  <si>
    <t>Perform simple linear regression using the sales data.</t>
  </si>
  <si>
    <t>2</t>
  </si>
  <si>
    <t>Interpret the coefficients of a regression model.</t>
  </si>
  <si>
    <t>3</t>
  </si>
  <si>
    <t>Use Excel’s LINEST function to find regression parameters.</t>
  </si>
  <si>
    <t>4</t>
  </si>
  <si>
    <t>Create a scatter plot with a trendline for given data.</t>
  </si>
  <si>
    <t>Calculate R-squared value to evaluate model accuracy.</t>
  </si>
  <si>
    <t>Use Data Analysis ToolPak to generate descriptive statistics.</t>
  </si>
  <si>
    <t>Perform a regression analysis using Excel's built-in tool.</t>
  </si>
  <si>
    <t>Create a pivot table to summarize given sales data.</t>
  </si>
  <si>
    <t>Analyze variance (ANOVA) using Data Analysis ToolPak.</t>
  </si>
  <si>
    <t>Generate histograms to analyze the distribution of a dataset.</t>
  </si>
  <si>
    <t>Price (Y)</t>
  </si>
  <si>
    <t xml:space="preserve">House Size (X) </t>
  </si>
  <si>
    <t>slope</t>
  </si>
  <si>
    <t>Intercept</t>
  </si>
  <si>
    <t>Estimated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</si>
  <si>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</si>
  <si>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</si>
  <si>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</si>
  <si>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</si>
  <si>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</si>
  <si>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</si>
  <si>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</si>
  <si>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</si>
  <si>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</si>
  <si>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</si>
  <si>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</si>
  <si>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</si>
  <si>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</si>
  <si>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</si>
  <si>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</si>
  <si>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</si>
  <si>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</si>
  <si>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</si>
  <si>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</si>
  <si>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</si>
  <si>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</si>
  <si>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</si>
  <si>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</si>
  <si>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</si>
  <si>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</si>
  <si>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2000000</t>
  </si>
  <si>
    <t>Residuals</t>
  </si>
  <si>
    <t>Standard Residuals</t>
  </si>
  <si>
    <t>PROBABILITY OUTPUT</t>
  </si>
  <si>
    <t>Percentile</t>
  </si>
  <si>
    <t xml:space="preserve">Sum of House Size (X) </t>
  </si>
  <si>
    <t>Sum of Price (Y)</t>
  </si>
  <si>
    <t>Sum of 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</si>
</sst>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7">
    <font>
      <sz val="11"/>
      <color theme="1"/>
      <name val="Calibri"/>
      <scheme val="minor"/>
    </font>
    <font>
      <sz val="11"/>
      <color rgb="FF000000"/>
      <name val="&quot;Aptos Narrow&quot;"/>
    </font>
    <font>
      <sz val="11"/>
      <color theme="1"/>
      <name val="Calibri"/>
      <family val="2"/>
      <scheme val="minor"/>
    </font>
    <font>
      <b/>
      <sz val="12"/>
      <color rgb="FF000000"/>
      <name val="&quot;Aptos Narrow&quot;"/>
    </font>
    <font>
      <b/>
      <sz val="20"/>
      <color rgb="FF864D00"/>
      <name val="&quot;Courier New&quot;"/>
    </font>
    <font>
      <sz val="11"/>
      <color rgb="FF864D00"/>
      <name val="&quot;Aptos Narrow&quot;"/>
    </font>
    <font>
      <b/>
      <sz val="11"/>
      <color rgb="FF000000"/>
      <name val="&quot;Aptos Narrow&quot;"/>
    </font>
    <font>
      <sz val="11"/>
      <name val="Calibri"/>
      <family val="2"/>
    </font>
    <font>
      <sz val="28"/>
      <color rgb="FF000000"/>
      <name val="&quot;Aptos Narrow&quot;"/>
    </font>
    <font>
      <b/>
      <sz val="14"/>
      <color rgb="FFBE5014"/>
      <name val="&quot;Aptos Narrow&quot;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B45F06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BE5014"/>
      </bottom>
      <diagonal/>
    </border>
    <border>
      <left style="thin">
        <color rgb="FFBE5014"/>
      </left>
      <right style="thin">
        <color rgb="FFBE5014"/>
      </right>
      <top/>
      <bottom style="thin">
        <color rgb="FFBE501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2" fontId="1" fillId="0" borderId="8" xfId="1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12" xfId="0" applyBorder="1"/>
    <xf numFmtId="0" fontId="16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Continuous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/>
    <xf numFmtId="0" fontId="6" fillId="0" borderId="9" xfId="0" applyFont="1" applyBorder="1" applyAlignment="1">
      <alignment horizontal="left" vertical="center"/>
    </xf>
    <xf numFmtId="0" fontId="7" fillId="0" borderId="10" xfId="0" applyFont="1" applyBorder="1"/>
    <xf numFmtId="0" fontId="7" fillId="0" borderId="6" xfId="0" applyFont="1" applyBorder="1"/>
    <xf numFmtId="0" fontId="1" fillId="0" borderId="8" xfId="0" applyFont="1" applyBorder="1" applyAlignment="1">
      <alignment horizontal="center" vertical="center"/>
    </xf>
    <xf numFmtId="0" fontId="7" fillId="0" borderId="8" xfId="0" applyFont="1" applyBorder="1"/>
    <xf numFmtId="0" fontId="6" fillId="3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/>
    <xf numFmtId="164" fontId="1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/>
    <xf numFmtId="164" fontId="7" fillId="0" borderId="5" xfId="0" applyNumberFormat="1" applyFont="1" applyBorder="1"/>
    <xf numFmtId="2" fontId="1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/>
    <xf numFmtId="2" fontId="7" fillId="0" borderId="5" xfId="0" applyNumberFormat="1" applyFont="1" applyBorder="1"/>
    <xf numFmtId="4" fontId="1" fillId="0" borderId="4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'Linear Regression'!$A$2:$A$11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  <c:pt idx="3">
                  <c:v>1800</c:v>
                </c:pt>
                <c:pt idx="4">
                  <c:v>2000</c:v>
                </c:pt>
                <c:pt idx="5">
                  <c:v>2200</c:v>
                </c:pt>
                <c:pt idx="6">
                  <c:v>2500</c:v>
                </c:pt>
                <c:pt idx="7">
                  <c:v>2800</c:v>
                </c:pt>
                <c:pt idx="8">
                  <c:v>3000</c:v>
                </c:pt>
                <c:pt idx="9">
                  <c:v>3200</c:v>
                </c:pt>
              </c:numCache>
            </c:numRef>
          </c:xVal>
          <c:yVal>
            <c:numRef>
              <c:f>'Linear Regression'!$B$2:$B$11</c:f>
              <c:numCache>
                <c:formatCode>General</c:formatCode>
                <c:ptCount val="10"/>
                <c:pt idx="0">
                  <c:v>2000000</c:v>
                </c:pt>
                <c:pt idx="1">
                  <c:v>2200000</c:v>
                </c:pt>
                <c:pt idx="2">
                  <c:v>2500000</c:v>
                </c:pt>
                <c:pt idx="3">
                  <c:v>2700000</c:v>
                </c:pt>
                <c:pt idx="4">
                  <c:v>3000000</c:v>
                </c:pt>
                <c:pt idx="5">
                  <c:v>3200000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66-42D4-A8F3-26F2D922829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'Linear Regression'!$A$2:$A$11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  <c:pt idx="3">
                  <c:v>1800</c:v>
                </c:pt>
                <c:pt idx="4">
                  <c:v>2000</c:v>
                </c:pt>
                <c:pt idx="5">
                  <c:v>2200</c:v>
                </c:pt>
                <c:pt idx="6">
                  <c:v>2500</c:v>
                </c:pt>
                <c:pt idx="7">
                  <c:v>2800</c:v>
                </c:pt>
                <c:pt idx="8">
                  <c:v>3000</c:v>
                </c:pt>
                <c:pt idx="9">
                  <c:v>3200</c:v>
                </c:pt>
              </c:numCache>
            </c:numRef>
          </c:xVal>
          <c:yVal>
            <c:numRef>
              <c:f>'Linear Regression'!$C$2:$C$11</c:f>
              <c:numCache>
                <c:formatCode>General</c:formatCode>
                <c:ptCount val="10"/>
                <c:pt idx="0">
                  <c:v>1993721.2863705973</c:v>
                </c:pt>
                <c:pt idx="1">
                  <c:v>2190352.2205206738</c:v>
                </c:pt>
                <c:pt idx="2">
                  <c:v>2485298.6217457885</c:v>
                </c:pt>
                <c:pt idx="3">
                  <c:v>2780245.0229709037</c:v>
                </c:pt>
                <c:pt idx="4">
                  <c:v>2976875.9571209801</c:v>
                </c:pt>
                <c:pt idx="5">
                  <c:v>3173506.8912710566</c:v>
                </c:pt>
                <c:pt idx="6">
                  <c:v>3468453.2924961718</c:v>
                </c:pt>
                <c:pt idx="7">
                  <c:v>3763399.693721286</c:v>
                </c:pt>
                <c:pt idx="8">
                  <c:v>3960030.6278713634</c:v>
                </c:pt>
                <c:pt idx="9">
                  <c:v>4156661.5620214399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66-42D4-A8F3-26F2D9228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8863"/>
        <c:axId val="15282543"/>
      </c:scatterChart>
      <c:valAx>
        <c:axId val="1529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2543"/>
        <c:crosses val="autoZero"/>
        <c:crossBetween val="midCat"/>
      </c:valAx>
      <c:valAx>
        <c:axId val="152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1000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Analysis Feature'!$D$3:$D$7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2000</c:v>
                </c:pt>
                <c:pt idx="4">
                  <c:v>2200</c:v>
                </c:pt>
              </c:numCache>
            </c:numRef>
          </c:xVal>
          <c:yVal>
            <c:numRef>
              <c:f>Sheet1!$C$25:$C$29</c:f>
              <c:numCache>
                <c:formatCode>General</c:formatCode>
                <c:ptCount val="5"/>
                <c:pt idx="0">
                  <c:v>14873.417721519247</c:v>
                </c:pt>
                <c:pt idx="1">
                  <c:v>17721.518987341784</c:v>
                </c:pt>
                <c:pt idx="2">
                  <c:v>-79430.379746835679</c:v>
                </c:pt>
                <c:pt idx="3">
                  <c:v>22468.354430379346</c:v>
                </c:pt>
                <c:pt idx="4">
                  <c:v>24367.088607594837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DE-46A4-A514-A90566EC8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29919"/>
        <c:axId val="263342399"/>
      </c:scatterChart>
      <c:valAx>
        <c:axId val="263329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3342399"/>
        <c:crosses val="autoZero"/>
        <c:crossBetween val="midCat"/>
      </c:valAx>
      <c:valAx>
        <c:axId val="263342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332991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1000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Analysis Feature'!$D$3:$D$7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2000</c:v>
                </c:pt>
                <c:pt idx="4">
                  <c:v>2200</c:v>
                </c:pt>
              </c:numCache>
            </c:numRef>
          </c:xVal>
          <c:yVal>
            <c:numRef>
              <c:f>'Data Analysis Feature'!$E$3:$E$7</c:f>
              <c:numCache>
                <c:formatCode>General</c:formatCode>
                <c:ptCount val="5"/>
                <c:pt idx="0">
                  <c:v>2200000</c:v>
                </c:pt>
                <c:pt idx="1">
                  <c:v>2500000</c:v>
                </c:pt>
                <c:pt idx="2">
                  <c:v>2700000</c:v>
                </c:pt>
                <c:pt idx="3">
                  <c:v>3000000</c:v>
                </c:pt>
                <c:pt idx="4">
                  <c:v>3200000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2B-435F-9769-DDD1AC8E0A0D}"/>
            </c:ext>
          </c:extLst>
        </c:ser>
        <c:ser>
          <c:idx val="1"/>
          <c:order val="1"/>
          <c:tx>
            <c:v>Predicted 2000000</c:v>
          </c:tx>
          <c:spPr>
            <a:ln w="19050">
              <a:noFill/>
            </a:ln>
          </c:spPr>
          <c:xVal>
            <c:numRef>
              <c:f>'Data Analysis Feature'!$D$3:$D$7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2000</c:v>
                </c:pt>
                <c:pt idx="4">
                  <c:v>2200</c:v>
                </c:pt>
              </c:numCache>
            </c:numRef>
          </c:xVal>
          <c:yVal>
            <c:numRef>
              <c:f>Sheet1!$B$25:$B$29</c:f>
              <c:numCache>
                <c:formatCode>General</c:formatCode>
                <c:ptCount val="5"/>
                <c:pt idx="0">
                  <c:v>2185126.5822784808</c:v>
                </c:pt>
                <c:pt idx="1">
                  <c:v>2482278.4810126582</c:v>
                </c:pt>
                <c:pt idx="2">
                  <c:v>2779430.3797468357</c:v>
                </c:pt>
                <c:pt idx="3">
                  <c:v>2977531.6455696207</c:v>
                </c:pt>
                <c:pt idx="4">
                  <c:v>3175632.9113924052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2B-435F-9769-DDD1AC8E0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37599"/>
        <c:axId val="263335679"/>
      </c:scatterChart>
      <c:valAx>
        <c:axId val="263337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3335679"/>
        <c:crosses val="autoZero"/>
        <c:crossBetween val="midCat"/>
      </c:valAx>
      <c:valAx>
        <c:axId val="263335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2000000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33375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Sheet1!$F$25:$F$29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</c:numCache>
            </c:numRef>
          </c:xVal>
          <c:yVal>
            <c:numRef>
              <c:f>Sheet1!$G$25:$G$29</c:f>
              <c:numCache>
                <c:formatCode>General</c:formatCode>
                <c:ptCount val="5"/>
                <c:pt idx="0">
                  <c:v>2200000</c:v>
                </c:pt>
                <c:pt idx="1">
                  <c:v>2500000</c:v>
                </c:pt>
                <c:pt idx="2">
                  <c:v>2700000</c:v>
                </c:pt>
                <c:pt idx="3">
                  <c:v>3000000</c:v>
                </c:pt>
                <c:pt idx="4">
                  <c:v>3200000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C-4F91-8DEE-52CD9638E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33759"/>
        <c:axId val="263331839"/>
      </c:scatterChart>
      <c:valAx>
        <c:axId val="26333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3331839"/>
        <c:crosses val="autoZero"/>
        <c:crossBetween val="midCat"/>
      </c:valAx>
      <c:valAx>
        <c:axId val="263331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2000000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33337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3.2 _ Excel - AI_ML - DA_DS.xlsx]Data Analysis Feature!PivotTable1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 Feature'!$D$13</c:f>
              <c:strCache>
                <c:ptCount val="1"/>
                <c:pt idx="0">
                  <c:v>Sum of House Size (X)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 Feature'!$D$14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'Data Analysis Feature'!$D$14</c:f>
              <c:numCache>
                <c:formatCode>General</c:formatCode>
                <c:ptCount val="1"/>
                <c:pt idx="0">
                  <c:v>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E6-451D-995C-AA540A237A75}"/>
            </c:ext>
          </c:extLst>
        </c:ser>
        <c:ser>
          <c:idx val="1"/>
          <c:order val="1"/>
          <c:tx>
            <c:strRef>
              <c:f>'Data Analysis Feature'!$E$13</c:f>
              <c:strCache>
                <c:ptCount val="1"/>
                <c:pt idx="0">
                  <c:v>Sum of Price (Y)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 Feature'!$D$14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'Data Analysis Feature'!$E$14</c:f>
              <c:numCache>
                <c:formatCode>General</c:formatCode>
                <c:ptCount val="1"/>
                <c:pt idx="0">
                  <c:v>15600000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E6-451D-995C-AA540A237A75}"/>
            </c:ext>
          </c:extLst>
        </c:ser>
        <c:ser>
          <c:idx val="2"/>
          <c:order val="2"/>
          <c:tx>
            <c:strRef>
              <c:f>'Data Analysis Feature'!$F$13</c:f>
              <c:strCache>
                <c:ptCount val="1"/>
                <c:pt idx="0">
                  <c:v>Sum of Estimated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 Feature'!$D$14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'Data Analysis Feature'!$F$14</c:f>
              <c:numCache>
                <c:formatCode>General</c:formatCode>
                <c:ptCount val="1"/>
                <c:pt idx="0">
                  <c:v>57270000000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3E6-451D-995C-AA540A237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333279"/>
        <c:axId val="263333759"/>
      </c:barChart>
      <c:catAx>
        <c:axId val="26333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33759"/>
        <c:crosses val="autoZero"/>
        <c:auto val="1"/>
        <c:lblAlgn val="ctr"/>
        <c:lblOffset val="100"/>
        <c:noMultiLvlLbl val="0"/>
      </c:catAx>
      <c:valAx>
        <c:axId val="26333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3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7</xdr:row>
      <xdr:rowOff>179070</xdr:rowOff>
    </xdr:from>
    <xdr:to>
      <xdr:col>9</xdr:col>
      <xdr:colOff>678180</xdr:colOff>
      <xdr:row>22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56BB1-A7EB-1DBD-49E6-70C0FEEF2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A9453-E431-837A-839A-737942ADF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289560</xdr:colOff>
      <xdr:row>1</xdr:row>
      <xdr:rowOff>45720</xdr:rowOff>
    </xdr:from>
    <xdr:to>
      <xdr:col>22</xdr:col>
      <xdr:colOff>289560</xdr:colOff>
      <xdr:row>11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81E1F-A12D-DD08-8D32-0551CD4FC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152400</xdr:colOff>
      <xdr:row>15</xdr:row>
      <xdr:rowOff>22860</xdr:rowOff>
    </xdr:from>
    <xdr:to>
      <xdr:col>17</xdr:col>
      <xdr:colOff>152400</xdr:colOff>
      <xdr:row>25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A2BE7C-2CF4-77A4-3876-2D542053A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6</xdr:row>
      <xdr:rowOff>179070</xdr:rowOff>
    </xdr:from>
    <xdr:to>
      <xdr:col>14</xdr:col>
      <xdr:colOff>396240</xdr:colOff>
      <xdr:row>21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5E37B-375C-CE2B-FF7F-92BAEE4A8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j Mistry" refreshedDate="46124.946265046296" createdVersion="8" refreshedVersion="8" minRefreshableVersion="3" recordCount="10" xr:uid="{0DDC7B9B-0E2F-4D04-984E-FF3140F37766}">
  <cacheSource type="worksheet">
    <worksheetSource ref="D1:F11" sheet="Data Analysis Feature"/>
  </cacheSource>
  <cacheFields count="3">
    <cacheField name="House Size (X) " numFmtId="0">
      <sharedItems containsSemiMixedTypes="0" containsString="0" containsNumber="1" containsInteger="1" minValue="1000" maxValue="3200"/>
    </cacheField>
    <cacheField name="Price (Y)" numFmtId="0">
      <sharedItems containsString="0" containsBlank="1" containsNumber="1" containsInteger="1" minValue="2000000" maxValue="3200000"/>
    </cacheField>
    <cacheField name="Estimated" numFmtId="0">
      <sharedItems containsSemiMixedTypes="0" containsString="0" containsNumber="1" containsInteger="1" minValue="2703000000" maxValue="8643000000" count="10">
        <n v="2703000000"/>
        <n v="3243000000"/>
        <n v="4053000000"/>
        <n v="4863000000"/>
        <n v="5403000000"/>
        <n v="5943000000"/>
        <n v="6753000000"/>
        <n v="7563000000"/>
        <n v="8103000000"/>
        <n v="864300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0"/>
    <n v="2000000"/>
    <x v="0"/>
  </r>
  <r>
    <n v="1200"/>
    <n v="2200000"/>
    <x v="1"/>
  </r>
  <r>
    <n v="1500"/>
    <n v="2500000"/>
    <x v="2"/>
  </r>
  <r>
    <n v="1800"/>
    <n v="2700000"/>
    <x v="3"/>
  </r>
  <r>
    <n v="2000"/>
    <n v="3000000"/>
    <x v="4"/>
  </r>
  <r>
    <n v="2200"/>
    <n v="3200000"/>
    <x v="5"/>
  </r>
  <r>
    <n v="2500"/>
    <m/>
    <x v="6"/>
  </r>
  <r>
    <n v="2800"/>
    <m/>
    <x v="7"/>
  </r>
  <r>
    <n v="3000"/>
    <m/>
    <x v="8"/>
  </r>
  <r>
    <n v="3200"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5DB08-8A56-4AE6-8A36-58D1F9DEF24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3:F14" firstHeaderRow="0" firstDataRow="1" firstDataCol="0"/>
  <pivotFields count="3">
    <pivotField dataField="1" showAll="0"/>
    <pivotField dataField="1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House Size (X) " fld="0" baseField="0" baseItem="0"/>
    <dataField name="Sum of Price (Y)" fld="1" baseField="0" baseItem="0"/>
    <dataField name="Sum of Estimated" fld="2" baseField="0" baseItem="0"/>
  </dataFields>
  <chartFormats count="3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4.44140625" defaultRowHeight="15" customHeight="1"/>
  <cols>
    <col min="2" max="2" width="93.88671875" customWidth="1"/>
  </cols>
  <sheetData>
    <row r="1" spans="1:26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/>
      <c r="B2" s="4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"/>
      <c r="B6" s="7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"/>
      <c r="B8" s="8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"/>
      <c r="B9" s="8" t="s">
        <v>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"/>
      <c r="B10" s="8" t="s">
        <v>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"/>
      <c r="B11" s="9" t="s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/>
      <c r="B12" s="1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/>
      <c r="B13" s="1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/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1"/>
      <c r="B15" s="12" t="s">
        <v>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5" t="s">
        <v>8</v>
      </c>
      <c r="B16" s="13" t="s">
        <v>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6"/>
      <c r="B17" s="1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4"/>
      <c r="B18" s="1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5" t="s">
        <v>11</v>
      </c>
      <c r="B19" s="15" t="s">
        <v>12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6"/>
      <c r="B20" s="15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/>
      <c r="B21" s="1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/>
      <c r="B22" s="1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6:A17"/>
    <mergeCell ref="A19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4" sqref="G4"/>
    </sheetView>
  </sheetViews>
  <sheetFormatPr defaultColWidth="14.44140625" defaultRowHeight="15" customHeight="1"/>
  <cols>
    <col min="1" max="1" width="13.6640625" customWidth="1"/>
    <col min="2" max="2" width="12.5546875" customWidth="1"/>
    <col min="3" max="3" width="16.88671875" customWidth="1"/>
    <col min="5" max="5" width="14.44140625" customWidth="1"/>
    <col min="6" max="6" width="12" bestFit="1" customWidth="1"/>
    <col min="7" max="7" width="12.109375" customWidth="1"/>
    <col min="8" max="8" width="12" customWidth="1"/>
    <col min="9" max="9" width="13.44140625" customWidth="1"/>
    <col min="10" max="10" width="17" customWidth="1"/>
    <col min="11" max="11" width="18" customWidth="1"/>
    <col min="12" max="12" width="19.6640625" customWidth="1"/>
  </cols>
  <sheetData>
    <row r="1" spans="1:26" ht="34.799999999999997">
      <c r="A1" s="17" t="s">
        <v>14</v>
      </c>
      <c r="B1" s="18" t="s">
        <v>15</v>
      </c>
      <c r="C1" s="19"/>
      <c r="D1" s="1"/>
      <c r="E1" s="60"/>
      <c r="F1" s="61"/>
      <c r="G1" s="61"/>
      <c r="H1" s="61"/>
      <c r="I1" s="61"/>
      <c r="J1" s="61"/>
      <c r="K1" s="61"/>
      <c r="L1" s="6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399999999999999">
      <c r="A2" s="21" t="s">
        <v>16</v>
      </c>
      <c r="B2" s="22" t="s">
        <v>17</v>
      </c>
      <c r="C2" s="19" t="s">
        <v>1</v>
      </c>
      <c r="D2" s="1"/>
      <c r="E2" s="62" t="s">
        <v>18</v>
      </c>
      <c r="F2" s="58"/>
      <c r="G2" s="58"/>
      <c r="H2" s="58"/>
      <c r="I2" s="58"/>
      <c r="J2" s="58"/>
      <c r="K2" s="58"/>
      <c r="L2" s="5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.6">
      <c r="A3" s="23" t="s">
        <v>19</v>
      </c>
      <c r="B3" s="24" t="s">
        <v>20</v>
      </c>
      <c r="C3" s="25" t="s">
        <v>21</v>
      </c>
      <c r="D3" s="26"/>
      <c r="E3" s="23" t="s">
        <v>22</v>
      </c>
      <c r="F3" s="24" t="s">
        <v>23</v>
      </c>
      <c r="G3" s="24" t="s">
        <v>24</v>
      </c>
      <c r="H3" s="24" t="s">
        <v>25</v>
      </c>
      <c r="I3" s="24" t="s">
        <v>26</v>
      </c>
      <c r="J3" s="24" t="s">
        <v>27</v>
      </c>
      <c r="K3" s="24" t="s">
        <v>28</v>
      </c>
      <c r="L3" s="24" t="s">
        <v>29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" customHeight="1">
      <c r="A4" s="14">
        <v>8</v>
      </c>
      <c r="B4" s="45">
        <v>250</v>
      </c>
      <c r="C4" s="47">
        <f>$F$12*A4+$F$13</f>
        <v>215.85981308411215</v>
      </c>
      <c r="D4" s="1"/>
      <c r="E4" s="63">
        <f>AVERAGE(A4:A7)</f>
        <v>11.25</v>
      </c>
      <c r="F4" s="65">
        <f>AVERAGE(B4:B7)</f>
        <v>568.5</v>
      </c>
      <c r="G4" s="28">
        <f>A4-$E$4</f>
        <v>-3.25</v>
      </c>
      <c r="H4" s="46">
        <f>B4-$F$4</f>
        <v>-318.5</v>
      </c>
      <c r="I4" s="46">
        <f>G4*H4</f>
        <v>1035.125</v>
      </c>
      <c r="J4" s="68">
        <f>SUM(I4:I7)</f>
        <v>2902.5</v>
      </c>
      <c r="K4">
        <f>G4*G4</f>
        <v>10.5625</v>
      </c>
      <c r="L4" s="63">
        <f>SUM(K4:K7)</f>
        <v>26.75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4">
        <v>10</v>
      </c>
      <c r="B5" s="45">
        <v>400</v>
      </c>
      <c r="C5" s="47">
        <f t="shared" ref="C5:C12" si="0">$F$12*A5+$F$13</f>
        <v>432.86915887850478</v>
      </c>
      <c r="D5" s="1"/>
      <c r="E5" s="64"/>
      <c r="F5" s="66"/>
      <c r="G5" s="28">
        <f>A5-$E$4</f>
        <v>-1.25</v>
      </c>
      <c r="H5" s="46">
        <f t="shared" ref="H5:H7" si="1">B5-$F$4</f>
        <v>-168.5</v>
      </c>
      <c r="I5" s="46">
        <f t="shared" ref="I5:I7" si="2">G5*H5</f>
        <v>210.625</v>
      </c>
      <c r="J5" s="69"/>
      <c r="K5">
        <f t="shared" ref="K5:K7" si="3">G5*G5</f>
        <v>1.5625</v>
      </c>
      <c r="L5" s="6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14">
        <v>12</v>
      </c>
      <c r="B6" s="45">
        <v>625</v>
      </c>
      <c r="C6" s="47">
        <f t="shared" si="0"/>
        <v>649.87850467289718</v>
      </c>
      <c r="D6" s="1"/>
      <c r="E6" s="64"/>
      <c r="F6" s="66"/>
      <c r="G6" s="28">
        <f t="shared" ref="G6:G7" si="4">A6-$E$4</f>
        <v>0.75</v>
      </c>
      <c r="H6" s="46">
        <f t="shared" si="1"/>
        <v>56.5</v>
      </c>
      <c r="I6" s="46">
        <f t="shared" si="2"/>
        <v>42.375</v>
      </c>
      <c r="J6" s="69"/>
      <c r="K6">
        <f t="shared" si="3"/>
        <v>0.5625</v>
      </c>
      <c r="L6" s="6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4">
        <v>15</v>
      </c>
      <c r="B7" s="45">
        <v>999</v>
      </c>
      <c r="C7" s="47">
        <f t="shared" si="0"/>
        <v>975.3925233644859</v>
      </c>
      <c r="D7" s="1"/>
      <c r="E7" s="56"/>
      <c r="F7" s="67"/>
      <c r="G7" s="28">
        <f t="shared" si="4"/>
        <v>3.75</v>
      </c>
      <c r="H7" s="46">
        <f t="shared" si="1"/>
        <v>430.5</v>
      </c>
      <c r="I7" s="46">
        <f t="shared" si="2"/>
        <v>1614.375</v>
      </c>
      <c r="J7" s="70"/>
      <c r="K7">
        <f t="shared" si="3"/>
        <v>14.0625</v>
      </c>
      <c r="L7" s="5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>
      <c r="A8" s="14">
        <v>17</v>
      </c>
      <c r="B8" s="20" t="s">
        <v>30</v>
      </c>
      <c r="C8" s="47">
        <f t="shared" si="0"/>
        <v>1192.4018691588785</v>
      </c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>
      <c r="A9" s="14">
        <v>18</v>
      </c>
      <c r="B9" s="20" t="s">
        <v>30</v>
      </c>
      <c r="C9" s="47">
        <f t="shared" si="0"/>
        <v>1300.9065420560748</v>
      </c>
      <c r="D9" s="1"/>
      <c r="E9" s="57" t="s">
        <v>31</v>
      </c>
      <c r="F9" s="58"/>
      <c r="G9" s="58"/>
      <c r="H9" s="58"/>
      <c r="I9" s="58"/>
      <c r="J9" s="59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>
      <c r="A10" s="14">
        <v>20</v>
      </c>
      <c r="B10" s="20" t="s">
        <v>30</v>
      </c>
      <c r="C10" s="47">
        <f t="shared" si="0"/>
        <v>1517.9158878504675</v>
      </c>
      <c r="D10" s="1"/>
      <c r="E10" s="57" t="s">
        <v>32</v>
      </c>
      <c r="F10" s="58"/>
      <c r="G10" s="58"/>
      <c r="H10" s="58"/>
      <c r="I10" s="58"/>
      <c r="J10" s="59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>
      <c r="A11" s="14">
        <v>22</v>
      </c>
      <c r="B11" s="20" t="s">
        <v>30</v>
      </c>
      <c r="C11" s="47">
        <f t="shared" si="0"/>
        <v>1734.9252336448596</v>
      </c>
      <c r="D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>
      <c r="A12" s="14">
        <v>26</v>
      </c>
      <c r="B12" s="20" t="s">
        <v>30</v>
      </c>
      <c r="C12" s="47">
        <f t="shared" si="0"/>
        <v>2168.9439252336451</v>
      </c>
      <c r="D12" s="1"/>
      <c r="E12" s="29" t="s">
        <v>33</v>
      </c>
      <c r="F12" s="30">
        <f>J4/L4</f>
        <v>108.50467289719626</v>
      </c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>
      <c r="A13" s="1"/>
      <c r="B13" s="1"/>
      <c r="C13" s="1"/>
      <c r="D13" s="1"/>
      <c r="E13" s="31" t="s">
        <v>34</v>
      </c>
      <c r="F13" s="46">
        <f>F4-(F12*E4)</f>
        <v>-652.17757009345792</v>
      </c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7.399999999999999">
      <c r="A15" s="1"/>
      <c r="B15" s="1"/>
      <c r="C15" s="1"/>
      <c r="D15" s="1"/>
      <c r="E15" s="19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>
      <c r="A16" s="1"/>
      <c r="B16" s="1"/>
      <c r="C16" s="1"/>
      <c r="D16" s="1"/>
      <c r="E16" s="1"/>
      <c r="F16" s="32"/>
      <c r="G16" s="32"/>
      <c r="H16" s="32"/>
      <c r="I16" s="32"/>
      <c r="J16" s="32"/>
      <c r="K16" s="32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>
      <c r="A36" s="1"/>
      <c r="B36" s="1"/>
      <c r="C36" s="1"/>
      <c r="D36" s="32"/>
      <c r="E36" s="32"/>
      <c r="F36" s="32"/>
      <c r="G36" s="32"/>
      <c r="H36" s="32"/>
      <c r="I36" s="32"/>
      <c r="J36" s="32"/>
      <c r="K36" s="32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>
      <c r="A37" s="1"/>
      <c r="B37" s="1"/>
      <c r="C37" s="1"/>
      <c r="D37" s="32"/>
      <c r="E37" s="32"/>
      <c r="F37" s="32"/>
      <c r="G37" s="32"/>
      <c r="H37" s="32"/>
      <c r="I37" s="32"/>
      <c r="J37" s="32"/>
      <c r="K37" s="32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>
      <c r="A38" s="1"/>
      <c r="B38" s="1"/>
      <c r="C38" s="1"/>
      <c r="D38" s="32"/>
      <c r="E38" s="32"/>
      <c r="F38" s="32"/>
      <c r="G38" s="32"/>
      <c r="H38" s="32"/>
      <c r="I38" s="32"/>
      <c r="J38" s="32"/>
      <c r="K38" s="32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F16" sqref="F16"/>
    </sheetView>
  </sheetViews>
  <sheetFormatPr defaultColWidth="14.44140625" defaultRowHeight="15" customHeight="1"/>
  <cols>
    <col min="1" max="1" width="13.6640625" customWidth="1"/>
    <col min="2" max="2" width="12.5546875" customWidth="1"/>
    <col min="3" max="3" width="16.88671875" customWidth="1"/>
    <col min="5" max="5" width="14.44140625" customWidth="1"/>
    <col min="6" max="6" width="12.44140625" customWidth="1"/>
    <col min="7" max="7" width="12.109375" customWidth="1"/>
    <col min="8" max="8" width="12" customWidth="1"/>
    <col min="9" max="9" width="13.44140625" customWidth="1"/>
    <col min="10" max="10" width="17" customWidth="1"/>
    <col min="11" max="11" width="18" customWidth="1"/>
    <col min="12" max="12" width="19.6640625" customWidth="1"/>
  </cols>
  <sheetData>
    <row r="1" spans="1:26" ht="34.799999999999997">
      <c r="A1" s="33" t="s">
        <v>35</v>
      </c>
      <c r="B1" s="34" t="s">
        <v>36</v>
      </c>
      <c r="C1" s="35"/>
      <c r="D1" s="1"/>
      <c r="E1" s="60"/>
      <c r="F1" s="61"/>
      <c r="G1" s="61"/>
      <c r="H1" s="61"/>
      <c r="I1" s="61"/>
      <c r="J1" s="61"/>
      <c r="K1" s="61"/>
      <c r="L1" s="6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399999999999999">
      <c r="A2" s="23" t="s">
        <v>16</v>
      </c>
      <c r="B2" s="24" t="s">
        <v>17</v>
      </c>
      <c r="C2" s="35" t="s">
        <v>1</v>
      </c>
      <c r="D2" s="1"/>
      <c r="E2" s="62" t="s">
        <v>18</v>
      </c>
      <c r="F2" s="58"/>
      <c r="G2" s="58"/>
      <c r="H2" s="58"/>
      <c r="I2" s="58"/>
      <c r="J2" s="58"/>
      <c r="K2" s="58"/>
      <c r="L2" s="5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.6">
      <c r="A3" s="23" t="s">
        <v>37</v>
      </c>
      <c r="B3" s="24" t="s">
        <v>38</v>
      </c>
      <c r="C3" s="36" t="s">
        <v>39</v>
      </c>
      <c r="D3" s="26"/>
      <c r="E3" s="23" t="s">
        <v>22</v>
      </c>
      <c r="F3" s="24" t="s">
        <v>23</v>
      </c>
      <c r="G3" s="24" t="s">
        <v>24</v>
      </c>
      <c r="H3" s="24" t="s">
        <v>25</v>
      </c>
      <c r="I3" s="24" t="s">
        <v>26</v>
      </c>
      <c r="J3" s="24" t="s">
        <v>27</v>
      </c>
      <c r="K3" s="24" t="s">
        <v>28</v>
      </c>
      <c r="L3" s="24" t="s">
        <v>29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4">
      <c r="A4" s="37">
        <v>25</v>
      </c>
      <c r="B4" s="38">
        <v>50</v>
      </c>
      <c r="C4" s="38">
        <f>$F$12*A4+$F$13</f>
        <v>50</v>
      </c>
      <c r="D4" s="1"/>
      <c r="E4" s="63">
        <f>AVERAGE(A4:A7)</f>
        <v>32.5</v>
      </c>
      <c r="F4" s="63">
        <f>AVERAGE(B4:B7)</f>
        <v>80</v>
      </c>
      <c r="G4" s="28">
        <f>A4-$E$4</f>
        <v>-7.5</v>
      </c>
      <c r="H4" s="28">
        <f>B4-$F$4</f>
        <v>-30</v>
      </c>
      <c r="I4" s="28">
        <f>G4*H4</f>
        <v>225</v>
      </c>
      <c r="J4" s="63">
        <f>SUM(I4:I7)</f>
        <v>500</v>
      </c>
      <c r="K4" s="28">
        <f>G4*G4</f>
        <v>56.25</v>
      </c>
      <c r="L4" s="63">
        <f>SUM(K4:K7)</f>
        <v>125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>
      <c r="A5" s="37">
        <v>30</v>
      </c>
      <c r="B5" s="38">
        <v>70</v>
      </c>
      <c r="C5" s="38">
        <f t="shared" ref="C5:C11" si="0">$F$12*A5+$F$13</f>
        <v>70</v>
      </c>
      <c r="D5" s="1"/>
      <c r="E5" s="64"/>
      <c r="F5" s="64"/>
      <c r="G5" s="28">
        <f t="shared" ref="G5:G7" si="1">A5-$E$4</f>
        <v>-2.5</v>
      </c>
      <c r="H5" s="28">
        <f t="shared" ref="H5:H7" si="2">B5-$F$4</f>
        <v>-10</v>
      </c>
      <c r="I5" s="28">
        <f t="shared" ref="I5:I7" si="3">G5*H5</f>
        <v>25</v>
      </c>
      <c r="J5" s="64"/>
      <c r="K5" s="28">
        <f t="shared" ref="K5:K7" si="4">G5*G5</f>
        <v>6.25</v>
      </c>
      <c r="L5" s="6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>
      <c r="A6" s="37">
        <v>35</v>
      </c>
      <c r="B6" s="38">
        <v>90</v>
      </c>
      <c r="C6" s="38">
        <f t="shared" si="0"/>
        <v>90</v>
      </c>
      <c r="D6" s="1"/>
      <c r="E6" s="64"/>
      <c r="F6" s="64"/>
      <c r="G6" s="28">
        <f t="shared" si="1"/>
        <v>2.5</v>
      </c>
      <c r="H6" s="28">
        <f t="shared" si="2"/>
        <v>10</v>
      </c>
      <c r="I6" s="28">
        <f t="shared" si="3"/>
        <v>25</v>
      </c>
      <c r="J6" s="64"/>
      <c r="K6" s="28">
        <f t="shared" si="4"/>
        <v>6.25</v>
      </c>
      <c r="L6" s="6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>
      <c r="A7" s="37">
        <v>40</v>
      </c>
      <c r="B7" s="38">
        <v>110</v>
      </c>
      <c r="C7" s="38">
        <f t="shared" si="0"/>
        <v>110</v>
      </c>
      <c r="D7" s="1"/>
      <c r="E7" s="56"/>
      <c r="F7" s="56"/>
      <c r="G7" s="28">
        <f t="shared" si="1"/>
        <v>7.5</v>
      </c>
      <c r="H7" s="28">
        <f t="shared" si="2"/>
        <v>30</v>
      </c>
      <c r="I7" s="28">
        <f t="shared" si="3"/>
        <v>225</v>
      </c>
      <c r="J7" s="56"/>
      <c r="K7" s="28">
        <f t="shared" si="4"/>
        <v>56.25</v>
      </c>
      <c r="L7" s="5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>
      <c r="A8" s="37">
        <v>42</v>
      </c>
      <c r="B8" s="38" t="s">
        <v>30</v>
      </c>
      <c r="C8" s="38">
        <f t="shared" si="0"/>
        <v>118</v>
      </c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>
      <c r="A9" s="37">
        <v>44</v>
      </c>
      <c r="B9" s="38" t="s">
        <v>30</v>
      </c>
      <c r="C9" s="38">
        <f t="shared" si="0"/>
        <v>126</v>
      </c>
      <c r="D9" s="1"/>
      <c r="E9" s="57" t="s">
        <v>40</v>
      </c>
      <c r="F9" s="58"/>
      <c r="G9" s="58"/>
      <c r="H9" s="58"/>
      <c r="I9" s="58"/>
      <c r="J9" s="59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>
      <c r="A10" s="37">
        <v>45</v>
      </c>
      <c r="B10" s="38" t="s">
        <v>30</v>
      </c>
      <c r="C10" s="38">
        <f t="shared" si="0"/>
        <v>130</v>
      </c>
      <c r="D10" s="1"/>
      <c r="E10" s="57" t="s">
        <v>41</v>
      </c>
      <c r="F10" s="58"/>
      <c r="G10" s="58"/>
      <c r="H10" s="58"/>
      <c r="I10" s="58"/>
      <c r="J10" s="59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>
      <c r="A11" s="37">
        <v>47</v>
      </c>
      <c r="B11" s="38" t="s">
        <v>30</v>
      </c>
      <c r="C11" s="38">
        <f t="shared" si="0"/>
        <v>138</v>
      </c>
      <c r="D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>
      <c r="A12" s="1"/>
      <c r="B12" s="1"/>
      <c r="C12" s="1"/>
      <c r="D12" s="1"/>
      <c r="E12" s="29" t="s">
        <v>33</v>
      </c>
      <c r="F12" s="30">
        <f>J4/L4</f>
        <v>4</v>
      </c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>
      <c r="A13" s="1"/>
      <c r="B13" s="1"/>
      <c r="C13" s="1"/>
      <c r="D13" s="1"/>
      <c r="E13" s="31" t="s">
        <v>34</v>
      </c>
      <c r="F13" s="28">
        <f>F4-(F12*E4)</f>
        <v>-50</v>
      </c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7.399999999999999">
      <c r="A15" s="1"/>
      <c r="B15" s="1"/>
      <c r="C15" s="1"/>
      <c r="D15" s="1"/>
      <c r="E15" s="19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>
      <c r="A16" s="1"/>
      <c r="B16" s="1"/>
      <c r="C16" s="1"/>
      <c r="D16" s="1"/>
      <c r="E16" s="1"/>
      <c r="F16" s="32"/>
      <c r="G16" s="32"/>
      <c r="H16" s="32"/>
      <c r="I16" s="32"/>
      <c r="J16" s="32"/>
      <c r="K16" s="32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>
      <c r="A36" s="1"/>
      <c r="B36" s="1"/>
      <c r="C36" s="1"/>
      <c r="D36" s="32"/>
      <c r="E36" s="32"/>
      <c r="F36" s="32"/>
      <c r="G36" s="32"/>
      <c r="H36" s="32"/>
      <c r="I36" s="32"/>
      <c r="J36" s="32"/>
      <c r="K36" s="32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>
      <c r="A37" s="1"/>
      <c r="B37" s="1"/>
      <c r="C37" s="1"/>
      <c r="D37" s="32"/>
      <c r="E37" s="32"/>
      <c r="F37" s="32"/>
      <c r="G37" s="32"/>
      <c r="H37" s="32"/>
      <c r="I37" s="32"/>
      <c r="J37" s="32"/>
      <c r="K37" s="32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>
      <c r="A38" s="1"/>
      <c r="B38" s="1"/>
      <c r="C38" s="1"/>
      <c r="D38" s="32"/>
      <c r="E38" s="32"/>
      <c r="F38" s="32"/>
      <c r="G38" s="32"/>
      <c r="H38" s="32"/>
      <c r="I38" s="32"/>
      <c r="J38" s="32"/>
      <c r="K38" s="32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C3" sqref="C3"/>
    </sheetView>
  </sheetViews>
  <sheetFormatPr defaultColWidth="14.44140625" defaultRowHeight="15" customHeight="1"/>
  <cols>
    <col min="1" max="1" width="13.6640625" customWidth="1"/>
    <col min="2" max="2" width="17.109375" customWidth="1"/>
    <col min="3" max="3" width="18.33203125" customWidth="1"/>
    <col min="5" max="5" width="14.44140625" customWidth="1"/>
    <col min="6" max="6" width="12.44140625" customWidth="1"/>
    <col min="7" max="7" width="12.109375" customWidth="1"/>
    <col min="8" max="8" width="12" customWidth="1"/>
    <col min="9" max="9" width="13.44140625" customWidth="1"/>
    <col min="10" max="10" width="17" customWidth="1"/>
    <col min="11" max="11" width="18" customWidth="1"/>
    <col min="12" max="12" width="19.6640625" customWidth="1"/>
  </cols>
  <sheetData>
    <row r="1" spans="1:26" ht="34.799999999999997">
      <c r="A1" s="33" t="s">
        <v>42</v>
      </c>
      <c r="B1" s="34" t="s">
        <v>43</v>
      </c>
      <c r="C1" s="35"/>
      <c r="D1" s="1"/>
      <c r="E1" s="60"/>
      <c r="F1" s="61"/>
      <c r="G1" s="61"/>
      <c r="H1" s="61"/>
      <c r="I1" s="61"/>
      <c r="J1" s="61"/>
      <c r="K1" s="61"/>
      <c r="L1" s="6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399999999999999">
      <c r="A2" s="23" t="s">
        <v>16</v>
      </c>
      <c r="B2" s="24" t="s">
        <v>17</v>
      </c>
      <c r="C2" s="35" t="s">
        <v>1</v>
      </c>
      <c r="D2" s="1"/>
      <c r="E2" s="62" t="s">
        <v>18</v>
      </c>
      <c r="F2" s="58"/>
      <c r="G2" s="58"/>
      <c r="H2" s="58"/>
      <c r="I2" s="58"/>
      <c r="J2" s="58"/>
      <c r="K2" s="58"/>
      <c r="L2" s="5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.6">
      <c r="A3" s="23" t="s">
        <v>44</v>
      </c>
      <c r="B3" s="24" t="s">
        <v>20</v>
      </c>
      <c r="C3" s="25" t="s">
        <v>21</v>
      </c>
      <c r="D3" s="26"/>
      <c r="E3" s="23" t="s">
        <v>22</v>
      </c>
      <c r="F3" s="24" t="s">
        <v>23</v>
      </c>
      <c r="G3" s="24" t="s">
        <v>24</v>
      </c>
      <c r="H3" s="24" t="s">
        <v>25</v>
      </c>
      <c r="I3" s="24" t="s">
        <v>26</v>
      </c>
      <c r="J3" s="24" t="s">
        <v>27</v>
      </c>
      <c r="K3" s="24" t="s">
        <v>28</v>
      </c>
      <c r="L3" s="24" t="s">
        <v>29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4">
      <c r="A4" s="37">
        <v>1000</v>
      </c>
      <c r="B4" s="48">
        <v>2000000</v>
      </c>
      <c r="C4" s="40">
        <f>$F$12*A4+$F$13</f>
        <v>2000000</v>
      </c>
      <c r="D4" s="1"/>
      <c r="E4" s="63">
        <f>AVERAGE(A4:A7)</f>
        <v>1750</v>
      </c>
      <c r="F4" s="71">
        <f>AVERAGE(B4:B7)</f>
        <v>2750000</v>
      </c>
      <c r="G4" s="28">
        <f>A4-$E$4</f>
        <v>-750</v>
      </c>
      <c r="H4" s="49">
        <f>B4-$F$4</f>
        <v>-750000</v>
      </c>
      <c r="I4" s="28">
        <f>G4*H4</f>
        <v>562500000</v>
      </c>
      <c r="J4" s="63">
        <f>SUM(I4:I7)</f>
        <v>1250000000</v>
      </c>
      <c r="K4" s="28">
        <f>G4*G4</f>
        <v>562500</v>
      </c>
      <c r="L4" s="63">
        <f>SUM(K4:K7)</f>
        <v>1250000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>
      <c r="A5" s="37">
        <v>1500</v>
      </c>
      <c r="B5" s="48">
        <v>2500000</v>
      </c>
      <c r="C5" s="40">
        <f t="shared" ref="C5:C11" si="0">$F$12*A5+$F$13</f>
        <v>2500000</v>
      </c>
      <c r="D5" s="1"/>
      <c r="E5" s="64"/>
      <c r="F5" s="64"/>
      <c r="G5" s="28">
        <f t="shared" ref="G5:G7" si="1">A5-$E$4</f>
        <v>-250</v>
      </c>
      <c r="H5" s="49">
        <f t="shared" ref="H5:H7" si="2">B5-$F$4</f>
        <v>-250000</v>
      </c>
      <c r="I5" s="28">
        <f t="shared" ref="I5:I7" si="3">G5*H5</f>
        <v>62500000</v>
      </c>
      <c r="J5" s="64"/>
      <c r="K5" s="28">
        <f t="shared" ref="K5:K7" si="4">G5*G5</f>
        <v>62500</v>
      </c>
      <c r="L5" s="6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>
      <c r="A6" s="37">
        <v>2000</v>
      </c>
      <c r="B6" s="48">
        <v>3000000</v>
      </c>
      <c r="C6" s="40">
        <f t="shared" si="0"/>
        <v>3000000</v>
      </c>
      <c r="D6" s="1"/>
      <c r="E6" s="64"/>
      <c r="F6" s="64"/>
      <c r="G6" s="28">
        <f t="shared" si="1"/>
        <v>250</v>
      </c>
      <c r="H6" s="49">
        <f t="shared" si="2"/>
        <v>250000</v>
      </c>
      <c r="I6" s="28">
        <f t="shared" si="3"/>
        <v>62500000</v>
      </c>
      <c r="J6" s="64"/>
      <c r="K6" s="28">
        <f t="shared" si="4"/>
        <v>62500</v>
      </c>
      <c r="L6" s="6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>
      <c r="A7" s="37">
        <v>2500</v>
      </c>
      <c r="B7" s="48">
        <v>3500000</v>
      </c>
      <c r="C7" s="40">
        <f t="shared" si="0"/>
        <v>3500000</v>
      </c>
      <c r="D7" s="1"/>
      <c r="E7" s="56"/>
      <c r="F7" s="56"/>
      <c r="G7" s="28">
        <f t="shared" si="1"/>
        <v>750</v>
      </c>
      <c r="H7" s="49">
        <f t="shared" si="2"/>
        <v>750000</v>
      </c>
      <c r="I7" s="28">
        <f t="shared" si="3"/>
        <v>562500000</v>
      </c>
      <c r="J7" s="56"/>
      <c r="K7" s="28">
        <f t="shared" si="4"/>
        <v>562500</v>
      </c>
      <c r="L7" s="5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>
      <c r="A8" s="37">
        <v>2800</v>
      </c>
      <c r="B8" s="39" t="s">
        <v>30</v>
      </c>
      <c r="C8" s="40">
        <f t="shared" si="0"/>
        <v>3800000</v>
      </c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>
      <c r="A9" s="37">
        <v>3000</v>
      </c>
      <c r="B9" s="39" t="s">
        <v>30</v>
      </c>
      <c r="C9" s="40">
        <f t="shared" si="0"/>
        <v>4000000</v>
      </c>
      <c r="D9" s="1"/>
      <c r="E9" s="57" t="s">
        <v>45</v>
      </c>
      <c r="F9" s="58"/>
      <c r="G9" s="58"/>
      <c r="H9" s="58"/>
      <c r="I9" s="58"/>
      <c r="J9" s="59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>
      <c r="A10" s="37">
        <v>3250</v>
      </c>
      <c r="B10" s="39" t="s">
        <v>30</v>
      </c>
      <c r="C10" s="40">
        <f t="shared" si="0"/>
        <v>4250000</v>
      </c>
      <c r="D10" s="1"/>
      <c r="E10" s="57" t="s">
        <v>46</v>
      </c>
      <c r="F10" s="58"/>
      <c r="G10" s="58"/>
      <c r="H10" s="58"/>
      <c r="I10" s="58"/>
      <c r="J10" s="59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>
      <c r="A11" s="37">
        <v>3500</v>
      </c>
      <c r="B11" s="39" t="s">
        <v>30</v>
      </c>
      <c r="C11" s="40">
        <f t="shared" si="0"/>
        <v>4500000</v>
      </c>
      <c r="D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>
      <c r="A12" s="1"/>
      <c r="B12" s="1"/>
      <c r="C12" s="1"/>
      <c r="D12" s="1"/>
      <c r="E12" s="29" t="s">
        <v>33</v>
      </c>
      <c r="F12" s="30">
        <f>J4/L4</f>
        <v>1000</v>
      </c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>
      <c r="A13" s="1"/>
      <c r="B13" s="1"/>
      <c r="C13" s="1"/>
      <c r="D13" s="1"/>
      <c r="E13" s="31" t="s">
        <v>34</v>
      </c>
      <c r="F13" s="28">
        <f>F4-(F12*E4)</f>
        <v>1000000</v>
      </c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7.399999999999999">
      <c r="A15" s="1"/>
      <c r="B15" s="1"/>
      <c r="C15" s="1"/>
      <c r="D15" s="1"/>
      <c r="E15" s="19"/>
      <c r="F15" s="1"/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>
      <c r="A16" s="1"/>
      <c r="B16" s="1"/>
      <c r="C16" s="1"/>
      <c r="D16" s="1"/>
      <c r="E16" s="1"/>
      <c r="F16" s="32"/>
      <c r="G16" s="32"/>
      <c r="H16" s="32"/>
      <c r="I16" s="32"/>
      <c r="J16" s="32"/>
      <c r="K16" s="32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>
      <c r="A36" s="1"/>
      <c r="B36" s="1"/>
      <c r="C36" s="1"/>
      <c r="D36" s="32"/>
      <c r="E36" s="32"/>
      <c r="F36" s="32"/>
      <c r="G36" s="32"/>
      <c r="H36" s="32"/>
      <c r="I36" s="32"/>
      <c r="J36" s="32"/>
      <c r="K36" s="32"/>
      <c r="L36" s="3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>
      <c r="A37" s="1"/>
      <c r="B37" s="1"/>
      <c r="C37" s="1"/>
      <c r="D37" s="32"/>
      <c r="E37" s="32"/>
      <c r="F37" s="32"/>
      <c r="G37" s="32"/>
      <c r="H37" s="32"/>
      <c r="I37" s="32"/>
      <c r="J37" s="32"/>
      <c r="K37" s="32"/>
      <c r="L37" s="3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>
      <c r="A38" s="1"/>
      <c r="B38" s="1"/>
      <c r="C38" s="1"/>
      <c r="D38" s="32"/>
      <c r="E38" s="32"/>
      <c r="F38" s="32"/>
      <c r="G38" s="32"/>
      <c r="H38" s="32"/>
      <c r="I38" s="32"/>
      <c r="J38" s="32"/>
      <c r="K38" s="32"/>
      <c r="L38" s="3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C2" sqref="C2"/>
    </sheetView>
  </sheetViews>
  <sheetFormatPr defaultColWidth="14.44140625" defaultRowHeight="15" customHeight="1"/>
  <cols>
    <col min="1" max="1" width="12.6640625" bestFit="1" customWidth="1"/>
    <col min="2" max="2" width="8" bestFit="1" customWidth="1"/>
    <col min="3" max="3" width="8.6640625" customWidth="1"/>
    <col min="4" max="4" width="8.44140625" bestFit="1" customWidth="1"/>
    <col min="5" max="5" width="18" bestFit="1" customWidth="1"/>
    <col min="6" max="6" width="15.21875" bestFit="1" customWidth="1"/>
    <col min="7" max="9" width="8.6640625" customWidth="1"/>
    <col min="10" max="10" width="49.21875" bestFit="1" customWidth="1"/>
    <col min="11" max="15" width="8.6640625" customWidth="1"/>
    <col min="16" max="16" width="49.21875" bestFit="1" customWidth="1"/>
    <col min="17" max="26" width="8.6640625" customWidth="1"/>
  </cols>
  <sheetData>
    <row r="1" spans="1:26" ht="14.4">
      <c r="A1" t="s">
        <v>64</v>
      </c>
      <c r="B1" t="s">
        <v>63</v>
      </c>
      <c r="C1" s="42" t="s">
        <v>67</v>
      </c>
      <c r="D1" s="42"/>
      <c r="E1" s="42"/>
      <c r="F1" s="42"/>
      <c r="G1" s="42"/>
      <c r="H1" s="42"/>
      <c r="I1" s="41" t="s">
        <v>47</v>
      </c>
      <c r="J1" s="41" t="s">
        <v>48</v>
      </c>
      <c r="K1" s="42"/>
      <c r="L1" s="42"/>
      <c r="M1" s="42"/>
      <c r="N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4">
      <c r="A2" s="50">
        <v>1000</v>
      </c>
      <c r="B2">
        <v>2000000</v>
      </c>
      <c r="C2" s="42">
        <f>$E$5*A2+$E$6</f>
        <v>1993721.2863705973</v>
      </c>
      <c r="D2" s="42"/>
      <c r="E2" s="42"/>
      <c r="F2" s="42"/>
      <c r="G2" s="42"/>
      <c r="H2" s="42"/>
      <c r="I2" s="43" t="s">
        <v>49</v>
      </c>
      <c r="J2" s="44" t="s">
        <v>50</v>
      </c>
      <c r="K2" s="42"/>
      <c r="L2" s="42"/>
      <c r="M2" s="42"/>
      <c r="N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4">
      <c r="A3" s="50">
        <v>1200</v>
      </c>
      <c r="B3">
        <v>2200000</v>
      </c>
      <c r="C3" s="42">
        <f t="shared" ref="C3:C11" si="0">$E$5*A3+$E$6</f>
        <v>2190352.2205206738</v>
      </c>
      <c r="D3" s="42"/>
      <c r="E3" s="42"/>
      <c r="F3" s="42"/>
      <c r="G3" s="42"/>
      <c r="H3" s="42"/>
      <c r="I3" s="43" t="s">
        <v>51</v>
      </c>
      <c r="J3" s="44" t="s">
        <v>52</v>
      </c>
      <c r="K3" s="42"/>
      <c r="L3" s="42"/>
      <c r="M3" s="42"/>
      <c r="N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4">
      <c r="A4" s="50">
        <v>1500</v>
      </c>
      <c r="B4">
        <v>2500000</v>
      </c>
      <c r="C4" s="42">
        <f t="shared" si="0"/>
        <v>2485298.6217457885</v>
      </c>
      <c r="D4" s="42"/>
      <c r="E4" s="42"/>
      <c r="F4" s="42"/>
      <c r="G4" s="42"/>
      <c r="H4" s="42"/>
      <c r="I4" s="43" t="s">
        <v>53</v>
      </c>
      <c r="J4" s="44" t="s">
        <v>54</v>
      </c>
      <c r="K4" s="42"/>
      <c r="L4" s="42"/>
      <c r="M4" s="42"/>
      <c r="N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4">
      <c r="A5" s="50">
        <v>1800</v>
      </c>
      <c r="B5">
        <v>2700000</v>
      </c>
      <c r="C5" s="42">
        <f t="shared" si="0"/>
        <v>2780245.0229709037</v>
      </c>
      <c r="D5" s="42" t="s">
        <v>65</v>
      </c>
      <c r="E5" s="42">
        <f>SLOPE(B2:B7,A2:A7)</f>
        <v>983.15467075038293</v>
      </c>
      <c r="F5" s="42"/>
      <c r="G5" s="42"/>
      <c r="H5" s="42"/>
      <c r="I5" s="43" t="s">
        <v>55</v>
      </c>
      <c r="J5" s="44" t="s">
        <v>56</v>
      </c>
      <c r="K5" s="42"/>
      <c r="L5" s="42"/>
      <c r="M5" s="42"/>
      <c r="N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4">
      <c r="A6" s="50">
        <v>2000</v>
      </c>
      <c r="B6">
        <v>3000000</v>
      </c>
      <c r="C6" s="42">
        <f t="shared" si="0"/>
        <v>2976875.9571209801</v>
      </c>
      <c r="D6" s="42" t="s">
        <v>66</v>
      </c>
      <c r="E6" s="42">
        <f>INTERCEPT(B2:B7,A2:A7)</f>
        <v>1010566.6156202143</v>
      </c>
      <c r="F6" s="42"/>
      <c r="G6" s="42"/>
      <c r="H6" s="42"/>
      <c r="I6" s="43">
        <v>5</v>
      </c>
      <c r="J6" s="44" t="s">
        <v>57</v>
      </c>
      <c r="K6" s="42"/>
      <c r="L6" s="42"/>
      <c r="M6" s="42"/>
      <c r="N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4">
      <c r="A7" s="51">
        <v>2200</v>
      </c>
      <c r="B7">
        <v>3200000</v>
      </c>
      <c r="C7" s="42">
        <f t="shared" si="0"/>
        <v>3173506.8912710566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4">
      <c r="A8" s="51">
        <v>2500</v>
      </c>
      <c r="C8" s="42">
        <f t="shared" si="0"/>
        <v>3468453.2924961718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4">
      <c r="A9" s="51">
        <v>2800</v>
      </c>
      <c r="C9" s="42">
        <f t="shared" si="0"/>
        <v>3763399.693721286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4">
      <c r="A10" s="51">
        <v>3000</v>
      </c>
      <c r="C10" s="42">
        <f t="shared" si="0"/>
        <v>3960030.6278713634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4">
      <c r="A11" s="51">
        <v>3200</v>
      </c>
      <c r="C11" s="42">
        <f t="shared" si="0"/>
        <v>4156661.5620214399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4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4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4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4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4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4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4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4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9B92-8EFB-420A-A9EC-44E1E8671945}">
  <dimension ref="A1:I29"/>
  <sheetViews>
    <sheetView workbookViewId="0">
      <selection sqref="A1:I29"/>
    </sheetView>
  </sheetViews>
  <sheetFormatPr defaultRowHeight="14.4"/>
  <sheetData>
    <row r="1" spans="1:9">
      <c r="A1" t="s">
        <v>68</v>
      </c>
    </row>
    <row r="2" spans="1:9" ht="15" thickBot="1"/>
    <row r="3" spans="1:9">
      <c r="A3" s="54" t="s">
        <v>69</v>
      </c>
      <c r="B3" s="54"/>
    </row>
    <row r="4" spans="1:9">
      <c r="A4" t="s">
        <v>70</v>
      </c>
      <c r="B4">
        <v>0.99365580074731308</v>
      </c>
    </row>
    <row r="5" spans="1:9">
      <c r="A5" t="s">
        <v>71</v>
      </c>
      <c r="B5">
        <v>0.98735185035878403</v>
      </c>
    </row>
    <row r="6" spans="1:9">
      <c r="A6" t="s">
        <v>72</v>
      </c>
      <c r="B6">
        <v>0.98313580047837867</v>
      </c>
    </row>
    <row r="7" spans="1:9">
      <c r="A7" t="s">
        <v>73</v>
      </c>
      <c r="B7">
        <v>51455.605378758453</v>
      </c>
    </row>
    <row r="8" spans="1:9" ht="15" thickBot="1">
      <c r="A8" s="52" t="s">
        <v>74</v>
      </c>
      <c r="B8" s="52">
        <v>5</v>
      </c>
    </row>
    <row r="10" spans="1:9" ht="15" thickBot="1">
      <c r="A10" t="s">
        <v>75</v>
      </c>
    </row>
    <row r="11" spans="1:9">
      <c r="A11" s="53"/>
      <c r="B11" s="53" t="s">
        <v>79</v>
      </c>
      <c r="C11" s="53" t="s">
        <v>80</v>
      </c>
      <c r="D11" s="53" t="s">
        <v>81</v>
      </c>
      <c r="E11" s="53" t="s">
        <v>82</v>
      </c>
      <c r="F11" s="53" t="s">
        <v>83</v>
      </c>
    </row>
    <row r="12" spans="1:9">
      <c r="A12" t="s">
        <v>76</v>
      </c>
      <c r="B12">
        <v>1</v>
      </c>
      <c r="C12">
        <v>620056962025.31641</v>
      </c>
      <c r="D12">
        <v>620056962025.31641</v>
      </c>
      <c r="E12">
        <v>234.18884462151385</v>
      </c>
      <c r="F12">
        <v>6.0601777151329448E-4</v>
      </c>
    </row>
    <row r="13" spans="1:9">
      <c r="A13" t="s">
        <v>77</v>
      </c>
      <c r="B13">
        <v>3</v>
      </c>
      <c r="C13">
        <v>7943037974.683547</v>
      </c>
      <c r="D13">
        <v>2647679324.8945155</v>
      </c>
    </row>
    <row r="14" spans="1:9" ht="15" thickBot="1">
      <c r="A14" s="52" t="s">
        <v>78</v>
      </c>
      <c r="B14" s="52">
        <v>4</v>
      </c>
      <c r="C14" s="52">
        <v>628000000000</v>
      </c>
      <c r="D14" s="52"/>
      <c r="E14" s="52"/>
      <c r="F14" s="52"/>
    </row>
    <row r="15" spans="1:9" ht="15" thickBot="1"/>
    <row r="16" spans="1:9">
      <c r="A16" s="53"/>
      <c r="B16" s="53" t="s">
        <v>84</v>
      </c>
      <c r="C16" s="53" t="s">
        <v>73</v>
      </c>
      <c r="D16" s="53" t="s">
        <v>85</v>
      </c>
      <c r="E16" s="53" t="s">
        <v>86</v>
      </c>
      <c r="F16" s="53" t="s">
        <v>87</v>
      </c>
      <c r="G16" s="53" t="s">
        <v>88</v>
      </c>
      <c r="H16" s="53" t="s">
        <v>89</v>
      </c>
      <c r="I16" s="53" t="s">
        <v>90</v>
      </c>
    </row>
    <row r="17" spans="1:9">
      <c r="A17" t="s">
        <v>66</v>
      </c>
      <c r="B17">
        <v>996518.98734177183</v>
      </c>
      <c r="C17">
        <v>114948.94705194198</v>
      </c>
      <c r="D17">
        <v>8.6692311056270466</v>
      </c>
      <c r="E17">
        <v>3.229294538096747E-3</v>
      </c>
      <c r="F17">
        <v>630700.13550006633</v>
      </c>
      <c r="G17">
        <v>1362337.8391834772</v>
      </c>
      <c r="H17">
        <v>630700.13550006633</v>
      </c>
      <c r="I17">
        <v>1362337.8391834772</v>
      </c>
    </row>
    <row r="18" spans="1:9" ht="15" thickBot="1">
      <c r="A18" s="52">
        <v>1000</v>
      </c>
      <c r="B18" s="52">
        <v>990.50632911392427</v>
      </c>
      <c r="C18" s="52">
        <v>64.725312053343671</v>
      </c>
      <c r="D18" s="52">
        <v>15.303229875471189</v>
      </c>
      <c r="E18" s="52">
        <v>6.0601777151329404E-4</v>
      </c>
      <c r="F18" s="52">
        <v>784.52149891142562</v>
      </c>
      <c r="G18" s="52">
        <v>1196.4911593164229</v>
      </c>
      <c r="H18" s="52">
        <v>784.52149891142562</v>
      </c>
      <c r="I18" s="52">
        <v>1196.4911593164229</v>
      </c>
    </row>
    <row r="22" spans="1:9">
      <c r="A22" t="s">
        <v>91</v>
      </c>
      <c r="F22" t="s">
        <v>96</v>
      </c>
    </row>
    <row r="23" spans="1:9" ht="15" thickBot="1"/>
    <row r="24" spans="1:9">
      <c r="A24" s="53" t="s">
        <v>92</v>
      </c>
      <c r="B24" s="53" t="s">
        <v>93</v>
      </c>
      <c r="C24" s="53" t="s">
        <v>94</v>
      </c>
      <c r="D24" s="53" t="s">
        <v>95</v>
      </c>
      <c r="F24" s="53" t="s">
        <v>97</v>
      </c>
      <c r="G24" s="53">
        <v>2000000</v>
      </c>
    </row>
    <row r="25" spans="1:9">
      <c r="A25">
        <v>1</v>
      </c>
      <c r="B25">
        <v>2185126.5822784808</v>
      </c>
      <c r="C25">
        <v>14873.417721519247</v>
      </c>
      <c r="D25">
        <v>0.33377011744705948</v>
      </c>
      <c r="F25">
        <v>10</v>
      </c>
      <c r="G25">
        <v>2200000</v>
      </c>
    </row>
    <row r="26" spans="1:9">
      <c r="A26">
        <v>2</v>
      </c>
      <c r="B26">
        <v>2482278.4810126582</v>
      </c>
      <c r="C26">
        <v>17721.518987341784</v>
      </c>
      <c r="D26">
        <v>0.39768354419223439</v>
      </c>
      <c r="F26">
        <v>30</v>
      </c>
      <c r="G26">
        <v>2500000</v>
      </c>
    </row>
    <row r="27" spans="1:9">
      <c r="A27">
        <v>3</v>
      </c>
      <c r="B27">
        <v>2779430.3797468357</v>
      </c>
      <c r="C27">
        <v>-79430.379746835679</v>
      </c>
      <c r="D27">
        <v>-1.7824744570044835</v>
      </c>
      <c r="F27">
        <v>50</v>
      </c>
      <c r="G27">
        <v>2700000</v>
      </c>
    </row>
    <row r="28" spans="1:9">
      <c r="A28">
        <v>4</v>
      </c>
      <c r="B28">
        <v>2977531.6455696207</v>
      </c>
      <c r="C28">
        <v>22468.354430379346</v>
      </c>
      <c r="D28">
        <v>0.50420592210085935</v>
      </c>
      <c r="F28">
        <v>70</v>
      </c>
      <c r="G28">
        <v>3000000</v>
      </c>
    </row>
    <row r="29" spans="1:9" ht="15" thickBot="1">
      <c r="A29" s="52">
        <v>5</v>
      </c>
      <c r="B29" s="52">
        <v>3175632.9113924052</v>
      </c>
      <c r="C29" s="52">
        <v>24367.088607594837</v>
      </c>
      <c r="D29" s="52">
        <v>0.54681487326431977</v>
      </c>
      <c r="F29" s="52">
        <v>90</v>
      </c>
      <c r="G29" s="52">
        <v>3200000</v>
      </c>
    </row>
  </sheetData>
  <sortState xmlns:xlrd2="http://schemas.microsoft.com/office/spreadsheetml/2017/richdata2" ref="G25:G29">
    <sortCondition ref="G25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D1" sqref="D1:F11"/>
    </sheetView>
  </sheetViews>
  <sheetFormatPr defaultColWidth="14.44140625" defaultRowHeight="15" customHeight="1"/>
  <cols>
    <col min="1" max="1" width="8.6640625" customWidth="1"/>
    <col min="2" max="2" width="53.5546875" customWidth="1"/>
    <col min="3" max="3" width="8.6640625" customWidth="1"/>
    <col min="4" max="4" width="19.88671875" bestFit="1" customWidth="1"/>
    <col min="5" max="5" width="14.44140625" bestFit="1" customWidth="1"/>
    <col min="6" max="6" width="15.88671875" bestFit="1" customWidth="1"/>
    <col min="7" max="26" width="8.6640625" customWidth="1"/>
  </cols>
  <sheetData>
    <row r="1" spans="1:26" ht="14.4">
      <c r="A1" s="41" t="s">
        <v>47</v>
      </c>
      <c r="B1" s="41" t="s">
        <v>48</v>
      </c>
      <c r="C1" s="42"/>
      <c r="D1" t="s">
        <v>64</v>
      </c>
      <c r="E1" t="s">
        <v>63</v>
      </c>
      <c r="F1" s="42" t="s">
        <v>67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4.4">
      <c r="A2" s="43" t="s">
        <v>49</v>
      </c>
      <c r="B2" s="44" t="s">
        <v>58</v>
      </c>
      <c r="C2" s="42"/>
      <c r="D2" s="50">
        <v>1000</v>
      </c>
      <c r="E2">
        <v>2000000</v>
      </c>
      <c r="F2" s="42">
        <f>$E$5*D2+$E$6</f>
        <v>2703000000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4.4">
      <c r="A3" s="43" t="s">
        <v>51</v>
      </c>
      <c r="B3" s="44" t="s">
        <v>59</v>
      </c>
      <c r="C3" s="42"/>
      <c r="D3" s="50">
        <v>1200</v>
      </c>
      <c r="E3">
        <v>2200000</v>
      </c>
      <c r="F3" s="42">
        <f t="shared" ref="F3:F11" si="0">$E$5*D3+$E$6</f>
        <v>3243000000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4">
      <c r="A4" s="43" t="s">
        <v>53</v>
      </c>
      <c r="B4" s="44" t="s">
        <v>60</v>
      </c>
      <c r="C4" s="42"/>
      <c r="D4" s="50">
        <v>1500</v>
      </c>
      <c r="E4">
        <v>2500000</v>
      </c>
      <c r="F4" s="42">
        <f t="shared" si="0"/>
        <v>4053000000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4">
      <c r="A5" s="43" t="s">
        <v>55</v>
      </c>
      <c r="B5" s="44" t="s">
        <v>61</v>
      </c>
      <c r="C5" s="42"/>
      <c r="D5" s="50">
        <v>1800</v>
      </c>
      <c r="E5">
        <v>2700000</v>
      </c>
      <c r="F5" s="42">
        <f t="shared" si="0"/>
        <v>4863000000</v>
      </c>
      <c r="G5" s="42" t="s">
        <v>65</v>
      </c>
      <c r="H5" s="42">
        <f>SLOPE(E2:E7,D2:D7)</f>
        <v>983.15467075038293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4.4">
      <c r="A6" s="43">
        <v>5</v>
      </c>
      <c r="B6" s="44" t="s">
        <v>62</v>
      </c>
      <c r="C6" s="42"/>
      <c r="D6" s="50">
        <v>2000</v>
      </c>
      <c r="E6">
        <v>3000000</v>
      </c>
      <c r="F6" s="42">
        <f t="shared" si="0"/>
        <v>5403000000</v>
      </c>
      <c r="G6" s="42" t="s">
        <v>66</v>
      </c>
      <c r="H6" s="42">
        <f>INTERCEPT(E2:E7,D2:D7)</f>
        <v>1010566.6156202143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4">
      <c r="A7" s="42"/>
      <c r="B7" s="42"/>
      <c r="C7" s="42"/>
      <c r="D7" s="51">
        <v>2200</v>
      </c>
      <c r="E7">
        <v>3200000</v>
      </c>
      <c r="F7" s="42">
        <f t="shared" si="0"/>
        <v>5943000000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4">
      <c r="A8" s="42"/>
      <c r="B8" s="42"/>
      <c r="C8" s="42"/>
      <c r="D8" s="51">
        <v>2500</v>
      </c>
      <c r="F8" s="42">
        <f t="shared" si="0"/>
        <v>6753000000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4">
      <c r="A9" s="42"/>
      <c r="B9" s="42"/>
      <c r="C9" s="42"/>
      <c r="D9" s="51">
        <v>2800</v>
      </c>
      <c r="F9" s="42">
        <f t="shared" si="0"/>
        <v>7563000000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4">
      <c r="A10" s="42"/>
      <c r="B10" s="42"/>
      <c r="C10" s="42"/>
      <c r="D10" s="51">
        <v>3000</v>
      </c>
      <c r="F10" s="42">
        <f t="shared" si="0"/>
        <v>8103000000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4">
      <c r="A11" s="42"/>
      <c r="B11" s="42"/>
      <c r="C11" s="42"/>
      <c r="D11" s="51">
        <v>3200</v>
      </c>
      <c r="F11" s="42">
        <f t="shared" si="0"/>
        <v>8643000000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4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4">
      <c r="A13" s="42"/>
      <c r="B13" s="42"/>
      <c r="C13" s="42"/>
      <c r="D13" t="s">
        <v>98</v>
      </c>
      <c r="E13" t="s">
        <v>99</v>
      </c>
      <c r="F13" t="s">
        <v>100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4">
      <c r="A14" s="42"/>
      <c r="B14" s="42"/>
      <c r="C14" s="42"/>
      <c r="D14">
        <v>21200</v>
      </c>
      <c r="E14">
        <v>15600000</v>
      </c>
      <c r="F14">
        <v>57270000000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4">
      <c r="A15" s="42"/>
      <c r="B15" s="42"/>
      <c r="C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4">
      <c r="A16" s="42"/>
      <c r="B16" s="42"/>
      <c r="C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4">
      <c r="A17" s="42"/>
      <c r="B17" s="42"/>
      <c r="C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4">
      <c r="A18" s="42"/>
      <c r="B18" s="42"/>
      <c r="C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4">
      <c r="A19" s="42"/>
      <c r="B19" s="42"/>
      <c r="C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4">
      <c r="A20" s="42"/>
      <c r="B20" s="42"/>
      <c r="C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42"/>
      <c r="B21" s="42"/>
      <c r="C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42"/>
      <c r="B22" s="42"/>
      <c r="C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42"/>
      <c r="B23" s="42"/>
      <c r="C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42"/>
      <c r="B24" s="42"/>
      <c r="C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42"/>
      <c r="B25" s="42"/>
      <c r="C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42"/>
      <c r="B26" s="42"/>
      <c r="C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42"/>
      <c r="B27" s="42"/>
      <c r="C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42"/>
      <c r="B28" s="42"/>
      <c r="C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42"/>
      <c r="B29" s="42"/>
      <c r="C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42"/>
      <c r="B30" s="42"/>
      <c r="C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Theory</vt:lpstr>
      <vt:lpstr>Pizza Price Prediction</vt:lpstr>
      <vt:lpstr>Lemonade Sold Prediction</vt:lpstr>
      <vt:lpstr>House Price Prediction</vt:lpstr>
      <vt:lpstr>Linear Regression</vt:lpstr>
      <vt:lpstr>Sheet1</vt:lpstr>
      <vt:lpstr>Data Analysis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2026-04-21T06:31:14Z</dcterms:modified>
</cp:coreProperties>
</file>