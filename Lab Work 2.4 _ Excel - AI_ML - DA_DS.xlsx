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1 Data Analysis\Excel\"/>
    </mc:Choice>
  </mc:AlternateContent>
  <xr:revisionPtr revIDLastSave="0" documentId="13_ncr:1_{44C8A23E-CA8D-4033-A6B7-4E6FE1D256C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e Functions" sheetId="1" r:id="rId1"/>
    <sheet name="Time Functions" sheetId="2" r:id="rId2"/>
    <sheet name="Math Functions" sheetId="3" r:id="rId3"/>
    <sheet name="Filter Func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4" l="1" a="1"/>
  <c r="G14" i="4" s="1"/>
  <c r="K7" i="4" a="1"/>
  <c r="K7" i="4" s="1"/>
  <c r="K2" i="4" a="1"/>
  <c r="K2" i="4" s="1"/>
  <c r="E2" i="4" a="1"/>
  <c r="E2" i="4" s="1"/>
  <c r="D6" i="3"/>
  <c r="D5" i="3"/>
  <c r="D4" i="3"/>
  <c r="E3" i="3"/>
  <c r="D3" i="3"/>
  <c r="D2" i="3"/>
  <c r="D6" i="2"/>
  <c r="D4" i="2"/>
  <c r="D2" i="2"/>
  <c r="D3" i="2" s="1"/>
  <c r="E6" i="1"/>
  <c r="E2" i="1"/>
  <c r="E3" i="1" s="1"/>
  <c r="E6" i="2" l="1"/>
  <c r="E5" i="1"/>
  <c r="E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<sst xmlns="http://schemas.openxmlformats.org/spreadsheetml/2006/main" count="71" uniqueCount="47">
  <si>
    <t>Task</t>
  </si>
  <si>
    <t>Challenges</t>
  </si>
  <si>
    <t>1</t>
  </si>
  <si>
    <t>Use TODAY() to display the current date in a cell.</t>
  </si>
  <si>
    <t>2</t>
  </si>
  <si>
    <t>Use EOMONTH() to find the last day of the current month.</t>
  </si>
  <si>
    <t>3</t>
  </si>
  <si>
    <t>Extract the year from a given date using YEAR() function.</t>
  </si>
  <si>
    <t>4</t>
  </si>
  <si>
    <t>Calculate the difference in days between two dates using DATEDIF().</t>
  </si>
  <si>
    <t>Use DATE() function to create a date from year, month, and day values.</t>
  </si>
  <si>
    <t>Use NOW() to display the current date and time.</t>
  </si>
  <si>
    <t>Extract the hour from a given time using HOUR() function.</t>
  </si>
  <si>
    <t>Convert a given number to a time format using TIME() function.</t>
  </si>
  <si>
    <t>Calculate the difference between two times using TEXT() function.</t>
  </si>
  <si>
    <t>Use MINUTE() and SECOND() functions to extract respective values from a time.</t>
  </si>
  <si>
    <t>Use ROUND() to round a decimal number to 2 decimal places.</t>
  </si>
  <si>
    <t>Apply CEILING() and FLOOR() functions to round a number upwards and downwards.</t>
  </si>
  <si>
    <t>Use MOD() to get the remainder of a division operation.</t>
  </si>
  <si>
    <t>Calculate the square root of a number using SQRT() function.</t>
  </si>
  <si>
    <t>Use ABS() function to get the absolute value of a given number.</t>
  </si>
  <si>
    <t>Use FILTER() to extract values greater than 50 from a given dataset.</t>
  </si>
  <si>
    <t>Apply FILTER() to show all sales above a certain threshold from a sales table.</t>
  </si>
  <si>
    <t>Use FILTER() to display all records matching a specific category.</t>
  </si>
  <si>
    <t>Combine FILTER() with SORT() to show filtered and sorted results.</t>
  </si>
  <si>
    <t>Use FILTER() with multiple conditions (e.g., price &gt; 100 and category = 'Electronics').</t>
  </si>
  <si>
    <t>Array</t>
  </si>
  <si>
    <t>Filter</t>
  </si>
  <si>
    <t>Sales Rep (A) </t>
  </si>
  <si>
    <t>Region (B)</t>
  </si>
  <si>
    <t>Sales Amount (C)</t>
  </si>
  <si>
    <t>Amit</t>
  </si>
  <si>
    <t>North</t>
  </si>
  <si>
    <t>Priya</t>
  </si>
  <si>
    <t>South</t>
  </si>
  <si>
    <t>Rahul</t>
  </si>
  <si>
    <t>A (Product)</t>
  </si>
  <si>
    <t>B (Category)</t>
  </si>
  <si>
    <t>C (Price)</t>
  </si>
  <si>
    <t>Laptop</t>
  </si>
  <si>
    <t>Electronics</t>
  </si>
  <si>
    <t>Shirt</t>
  </si>
  <si>
    <t>Clothing</t>
  </si>
  <si>
    <t>Phone</t>
  </si>
  <si>
    <t>Jeans</t>
  </si>
  <si>
    <t>Watch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</si>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</sst>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8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0" fillId="0" borderId="2" xfId="0" applyBorder="1" applyAlignment="1">
      <alignment horizontal="right"/>
    </xf>
    <xf numFmtId="0" fontId="1" fillId="3" borderId="2" xfId="0" applyFont="1" applyFill="1" applyBorder="1"/>
    <xf numFmtId="0" fontId="1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0" fillId="3" borderId="2" xfId="0" applyFill="1" applyBorder="1"/>
    <xf numFmtId="0" fontId="4" fillId="3" borderId="0" xfId="0" applyFont="1" applyFill="1" applyAlignment="1">
      <alignment horizontal="center" vertical="center"/>
    </xf>
    <xf numFmtId="0" fontId="0" fillId="0" borderId="3" xfId="0" applyBorder="1"/>
    <xf numFmtId="0" fontId="4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E11" sqref="E11"/>
    </sheetView>
  </sheetViews>
  <sheetFormatPr defaultColWidth="14.44140625" defaultRowHeight="15" customHeight="1" x14ac:dyDescent="0.3"/>
  <cols>
    <col min="1" max="1" width="8.6640625" customWidth="1"/>
    <col min="2" max="2" width="63" customWidth="1"/>
    <col min="3" max="4" width="8.6640625" customWidth="1"/>
    <col min="5" max="5" width="10.33203125" bestFit="1" customWidth="1"/>
    <col min="6" max="26" width="8.6640625" customWidth="1"/>
  </cols>
  <sheetData>
    <row r="1" spans="1:26" ht="14.4" x14ac:dyDescent="0.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</v>
      </c>
      <c r="B2" s="4" t="s">
        <v>3</v>
      </c>
      <c r="C2" s="2"/>
      <c r="D2" s="2"/>
      <c r="E2" s="6">
        <f ca="1">TODAY()</f>
        <v>46125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 t="s">
        <v>4</v>
      </c>
      <c r="B3" s="4" t="s">
        <v>5</v>
      </c>
      <c r="C3" s="2"/>
      <c r="D3" s="2"/>
      <c r="E3" s="2">
        <f ca="1">EOMONTH(E2, 1)</f>
        <v>46173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6</v>
      </c>
      <c r="B4" s="4" t="s">
        <v>7</v>
      </c>
      <c r="C4" s="2"/>
      <c r="D4" s="2"/>
      <c r="E4" s="2">
        <f ca="1">YEAR(E2)</f>
        <v>2026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 t="s">
        <v>8</v>
      </c>
      <c r="B5" s="4" t="s">
        <v>9</v>
      </c>
      <c r="C5" s="2"/>
      <c r="D5" s="2"/>
      <c r="E5" s="2">
        <f ca="1">DATEDIF("11-04-2025",E2,"M")</f>
        <v>12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">
        <v>5</v>
      </c>
      <c r="B6" s="4" t="s">
        <v>10</v>
      </c>
      <c r="C6" s="2"/>
      <c r="D6" s="2"/>
      <c r="E6" s="6">
        <f>DATE(2026,9,14)</f>
        <v>46279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5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E7" sqref="E7"/>
    </sheetView>
  </sheetViews>
  <sheetFormatPr defaultColWidth="14.44140625" defaultRowHeight="15" customHeight="1" x14ac:dyDescent="0.3"/>
  <cols>
    <col min="1" max="1" width="8.6640625" customWidth="1"/>
    <col min="2" max="2" width="71" customWidth="1"/>
    <col min="3" max="3" width="8.6640625" customWidth="1"/>
    <col min="4" max="4" width="15.44140625" bestFit="1" customWidth="1"/>
    <col min="5" max="26" width="8.6640625" customWidth="1"/>
  </cols>
  <sheetData>
    <row r="1" spans="1:26" ht="14.4" x14ac:dyDescent="0.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</v>
      </c>
      <c r="B2" s="4" t="s">
        <v>11</v>
      </c>
      <c r="C2" s="2"/>
      <c r="D2" s="7">
        <f ca="1">NOW()</f>
        <v>46125.493038657405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 t="s">
        <v>4</v>
      </c>
      <c r="B3" s="4" t="s">
        <v>12</v>
      </c>
      <c r="C3" s="2"/>
      <c r="D3" s="2">
        <f ca="1">HOUR(D2)</f>
        <v>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6</v>
      </c>
      <c r="B4" s="4" t="s">
        <v>13</v>
      </c>
      <c r="C4" s="2"/>
      <c r="D4" s="8">
        <f>TIME(11,29,22)</f>
        <v>0.47872685185185188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 t="s">
        <v>8</v>
      </c>
      <c r="B5" s="4" t="s">
        <v>14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">
        <v>5</v>
      </c>
      <c r="B6" s="4" t="s">
        <v>15</v>
      </c>
      <c r="C6" s="2"/>
      <c r="D6" s="2">
        <f>MINUTE(D4)</f>
        <v>29</v>
      </c>
      <c r="E6" s="2">
        <f ca="1">SECOND(D2)</f>
        <v>59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5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D7" sqref="D7"/>
    </sheetView>
  </sheetViews>
  <sheetFormatPr defaultColWidth="14.44140625" defaultRowHeight="15" customHeight="1" x14ac:dyDescent="0.3"/>
  <cols>
    <col min="1" max="1" width="8.6640625" customWidth="1"/>
    <col min="2" max="2" width="75.109375" customWidth="1"/>
    <col min="3" max="26" width="8.6640625" customWidth="1"/>
  </cols>
  <sheetData>
    <row r="1" spans="1:26" ht="14.4" x14ac:dyDescent="0.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</v>
      </c>
      <c r="B2" s="4" t="s">
        <v>16</v>
      </c>
      <c r="C2" s="2"/>
      <c r="D2" s="2">
        <f>ROUND(10.1254,2)</f>
        <v>10.130000000000001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 t="s">
        <v>4</v>
      </c>
      <c r="B3" s="4" t="s">
        <v>17</v>
      </c>
      <c r="C3" s="2"/>
      <c r="D3" s="2">
        <f>CEILING(17,5)</f>
        <v>20</v>
      </c>
      <c r="E3" s="2">
        <f>FLOOR(17,5)</f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6</v>
      </c>
      <c r="B4" s="4" t="s">
        <v>18</v>
      </c>
      <c r="C4" s="2"/>
      <c r="D4" s="2">
        <f>MOD(8,3)</f>
        <v>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 t="s">
        <v>8</v>
      </c>
      <c r="B5" s="4" t="s">
        <v>19</v>
      </c>
      <c r="C5" s="2"/>
      <c r="D5" s="2">
        <f>SQRT(16)</f>
        <v>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">
        <v>5</v>
      </c>
      <c r="B6" s="4" t="s">
        <v>20</v>
      </c>
      <c r="C6" s="2"/>
      <c r="D6" s="2">
        <f>ABS(-14.6)</f>
        <v>14.6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5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abSelected="1" workbookViewId="0">
      <selection activeCell="J23" sqref="J23"/>
    </sheetView>
  </sheetViews>
  <sheetFormatPr defaultColWidth="14.44140625" defaultRowHeight="15" customHeight="1" x14ac:dyDescent="0.3"/>
  <cols>
    <col min="1" max="1" width="8.6640625" customWidth="1"/>
    <col min="2" max="2" width="75.109375" customWidth="1"/>
    <col min="3" max="6" width="8.6640625" customWidth="1"/>
    <col min="7" max="7" width="11.77734375" bestFit="1" customWidth="1"/>
    <col min="8" max="8" width="11" bestFit="1" customWidth="1"/>
    <col min="9" max="9" width="14.77734375" bestFit="1" customWidth="1"/>
    <col min="10" max="26" width="8.6640625" customWidth="1"/>
  </cols>
  <sheetData>
    <row r="1" spans="1:26" ht="14.4" x14ac:dyDescent="0.3">
      <c r="A1" s="1" t="s">
        <v>0</v>
      </c>
      <c r="B1" s="1" t="s">
        <v>1</v>
      </c>
      <c r="C1" s="2"/>
      <c r="D1" s="12" t="s">
        <v>26</v>
      </c>
      <c r="E1" s="12" t="s">
        <v>27</v>
      </c>
      <c r="F1" s="2"/>
      <c r="G1" s="12" t="s">
        <v>28</v>
      </c>
      <c r="H1" s="16" t="s">
        <v>29</v>
      </c>
      <c r="I1" s="16" t="s">
        <v>30</v>
      </c>
      <c r="K1" s="19" t="s">
        <v>27</v>
      </c>
      <c r="L1" s="14"/>
      <c r="M1" s="14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</v>
      </c>
      <c r="B2" s="4" t="s">
        <v>21</v>
      </c>
      <c r="C2" s="2"/>
      <c r="D2" s="9">
        <v>10</v>
      </c>
      <c r="E2" s="10" cm="1">
        <f t="array" ref="E2:E3">_xlfn._xlws.FILTER(D2:D8,D2:D8&gt;50)</f>
        <v>60</v>
      </c>
      <c r="F2" s="2"/>
      <c r="G2" s="18" t="s">
        <v>31</v>
      </c>
      <c r="H2" s="18" t="s">
        <v>32</v>
      </c>
      <c r="I2" s="18">
        <v>12000</v>
      </c>
      <c r="K2" s="14" t="str" cm="1">
        <f t="array" ref="K2:M2">_xlfn._xlws.FILTER(G2:I4,I2:I4&gt;12000)</f>
        <v>Rahul</v>
      </c>
      <c r="L2" s="14" t="str">
        <v>North</v>
      </c>
      <c r="M2" s="14">
        <v>15000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 t="s">
        <v>4</v>
      </c>
      <c r="B3" s="13" t="s">
        <v>22</v>
      </c>
      <c r="C3" s="2"/>
      <c r="D3" s="9">
        <v>20</v>
      </c>
      <c r="E3" s="10">
        <v>70</v>
      </c>
      <c r="F3" s="2"/>
      <c r="G3" s="15" t="s">
        <v>33</v>
      </c>
      <c r="H3" s="15" t="s">
        <v>34</v>
      </c>
      <c r="I3" s="15">
        <v>8500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6</v>
      </c>
      <c r="B4" s="13" t="s">
        <v>23</v>
      </c>
      <c r="C4" s="2"/>
      <c r="D4" s="9">
        <v>30</v>
      </c>
      <c r="E4" s="10"/>
      <c r="F4" s="2"/>
      <c r="G4" s="15" t="s">
        <v>35</v>
      </c>
      <c r="H4" s="15" t="s">
        <v>32</v>
      </c>
      <c r="I4" s="15">
        <v>15000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 t="s">
        <v>8</v>
      </c>
      <c r="B5" s="4" t="s">
        <v>24</v>
      </c>
      <c r="C5" s="2"/>
      <c r="D5" s="9">
        <v>40</v>
      </c>
      <c r="E5" s="1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">
        <v>5</v>
      </c>
      <c r="B6" s="13" t="s">
        <v>25</v>
      </c>
      <c r="C6" s="2"/>
      <c r="D6" s="9">
        <v>50</v>
      </c>
      <c r="E6" s="11"/>
      <c r="F6" s="2"/>
      <c r="G6" s="16" t="s">
        <v>36</v>
      </c>
      <c r="H6" s="16" t="s">
        <v>37</v>
      </c>
      <c r="I6" s="16" t="s">
        <v>38</v>
      </c>
      <c r="J6" s="2"/>
      <c r="K6" s="17" t="s">
        <v>27</v>
      </c>
      <c r="L6" s="14"/>
      <c r="M6" s="14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5"/>
      <c r="C7" s="2"/>
      <c r="D7" s="9">
        <v>60</v>
      </c>
      <c r="E7" s="10"/>
      <c r="F7" s="2"/>
      <c r="G7" s="15" t="s">
        <v>39</v>
      </c>
      <c r="H7" s="15" t="s">
        <v>40</v>
      </c>
      <c r="I7" s="15">
        <v>1200</v>
      </c>
      <c r="K7" s="14" t="str" cm="1">
        <f t="array" ref="K7:M8">_xlfn._xlws.FILTER(G7:I11,H7:H11="Clothing")</f>
        <v>Shirt</v>
      </c>
      <c r="L7" s="14" t="str">
        <v>Clothing</v>
      </c>
      <c r="M7" s="14">
        <v>30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5"/>
      <c r="C8" s="2"/>
      <c r="D8" s="9">
        <v>70</v>
      </c>
      <c r="E8" s="9"/>
      <c r="F8" s="2"/>
      <c r="G8" s="15" t="s">
        <v>41</v>
      </c>
      <c r="H8" s="15" t="s">
        <v>42</v>
      </c>
      <c r="I8" s="15">
        <v>30</v>
      </c>
      <c r="K8" s="14" t="str">
        <v>Jeans</v>
      </c>
      <c r="L8" s="14" t="str">
        <v>Clothing</v>
      </c>
      <c r="M8" s="14">
        <v>50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5"/>
      <c r="C9" s="2"/>
      <c r="D9" s="2"/>
      <c r="E9" s="2"/>
      <c r="F9" s="2"/>
      <c r="G9" s="15" t="s">
        <v>43</v>
      </c>
      <c r="H9" s="15" t="s">
        <v>40</v>
      </c>
      <c r="I9" s="15">
        <v>800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5"/>
      <c r="C10" s="2"/>
      <c r="D10" s="2"/>
      <c r="E10" s="2"/>
      <c r="F10" s="2"/>
      <c r="G10" s="15" t="s">
        <v>44</v>
      </c>
      <c r="H10" s="15" t="s">
        <v>42</v>
      </c>
      <c r="I10" s="15">
        <v>50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5"/>
      <c r="C11" s="2"/>
      <c r="D11" s="2"/>
      <c r="E11" s="2"/>
      <c r="F11" s="2"/>
      <c r="G11" s="15" t="s">
        <v>45</v>
      </c>
      <c r="H11" s="15" t="s">
        <v>46</v>
      </c>
      <c r="I11" s="15">
        <v>150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5"/>
      <c r="C12" s="2"/>
      <c r="D12" s="2"/>
      <c r="E12" s="2"/>
      <c r="F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5"/>
      <c r="C13" s="2"/>
      <c r="D13" s="2"/>
      <c r="E13" s="2"/>
      <c r="F13" s="2"/>
      <c r="G13" s="17" t="s">
        <v>27</v>
      </c>
      <c r="H13" s="14"/>
      <c r="I13" s="1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5"/>
      <c r="C14" s="2"/>
      <c r="D14" s="2"/>
      <c r="E14" s="2"/>
      <c r="F14" s="2"/>
      <c r="G14" s="14" t="str" cm="1">
        <f t="array" ref="G14:I15">_xlfn._xlws.FILTER(G7:I11,(I7:I11&gt;30)*(H7:H11="Electronics"))</f>
        <v>Laptop</v>
      </c>
      <c r="H14" s="14" t="str">
        <v>Electronics</v>
      </c>
      <c r="I14" s="14">
        <v>1200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5"/>
      <c r="C15" s="2"/>
      <c r="D15" s="2"/>
      <c r="E15" s="2"/>
      <c r="F15" s="2"/>
      <c r="G15" s="14" t="str">
        <v>Phone</v>
      </c>
      <c r="H15" s="14" t="str">
        <v>Electronics</v>
      </c>
      <c r="I15" s="14">
        <v>800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Date Functions</vt:lpstr>
      <vt:lpstr>Time Functions</vt:lpstr>
      <vt:lpstr>Math Functions</vt:lpstr>
      <vt:lpstr>Filter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Kunj Mistry</cp:lastModifiedBy>
  <dcterms:modified xsi:type="dcterms:W3CDTF">2026-04-13T06:20:16Z</dcterms:modified>
</cp:coreProperties>
</file>